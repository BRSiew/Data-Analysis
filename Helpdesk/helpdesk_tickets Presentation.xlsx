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en Stuff\Work\Data Analysis\"/>
    </mc:Choice>
  </mc:AlternateContent>
  <xr:revisionPtr revIDLastSave="0" documentId="13_ncr:1_{26CE3C13-6B68-4E35-B349-82ADA2961B51}" xr6:coauthVersionLast="47" xr6:coauthVersionMax="47" xr10:uidLastSave="{00000000-0000-0000-0000-000000000000}"/>
  <bookViews>
    <workbookView xWindow="-105" yWindow="0" windowWidth="14610" windowHeight="15585" firstSheet="1" activeTab="1" xr2:uid="{00000000-000D-0000-FFFF-FFFF00000000}"/>
  </bookViews>
  <sheets>
    <sheet name="helpdesk_tickets" sheetId="1" r:id="rId1"/>
    <sheet name="Pivot Table" sheetId="5" r:id="rId2"/>
    <sheet name="Pivot chart" sheetId="6" r:id="rId3"/>
    <sheet name="Ticket Viewer" sheetId="3" r:id="rId4"/>
    <sheet name="Summary" sheetId="2" r:id="rId5"/>
  </sheets>
  <definedNames>
    <definedName name="Slicer_Agent_Assigned">#N/A</definedName>
    <definedName name="Slicer_Answered">#N/A</definedName>
    <definedName name="Slicer_Breached_SLA">#N/A</definedName>
    <definedName name="Slicer_Breached_SLA1">#N/A</definedName>
    <definedName name="Slicer_Current_Status">#N/A</definedName>
    <definedName name="Slicer_Department">#N/A</definedName>
    <definedName name="Slicer_Overdue">#N/A</definedName>
    <definedName name="Slicer_Priority">#N/A</definedName>
    <definedName name="Slicer_Source">#N/A</definedName>
    <definedName name="Slicer_Team_Assigned">#N/A</definedName>
    <definedName name="Slicer_Typ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6" i="1" l="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3" i="1"/>
  <c r="X4" i="1"/>
  <c r="X5" i="1"/>
  <c r="X6" i="1"/>
  <c r="X7" i="1"/>
  <c r="X8" i="1"/>
  <c r="X9" i="1"/>
  <c r="X10" i="1"/>
  <c r="X11" i="1"/>
  <c r="X12" i="1"/>
  <c r="X13" i="1"/>
  <c r="X14" i="1"/>
  <c r="X15" i="1"/>
  <c r="X2" i="1"/>
  <c r="W53" i="1" a="1"/>
  <c r="W53" i="1" s="1"/>
  <c r="C6" i="3"/>
  <c r="C11" i="3"/>
  <c r="C10" i="3"/>
  <c r="C9" i="3"/>
  <c r="C8" i="3"/>
  <c r="C7" i="3"/>
  <c r="C5" i="3"/>
  <c r="C4" i="3"/>
  <c r="W3" i="1" a="1"/>
  <c r="W3" i="1" s="1"/>
  <c r="W4" i="1" a="1"/>
  <c r="W4" i="1" s="1"/>
  <c r="W5" i="1" a="1"/>
  <c r="W5" i="1" s="1"/>
  <c r="W6" i="1" a="1"/>
  <c r="W6" i="1" s="1"/>
  <c r="W7" i="1" a="1"/>
  <c r="W7" i="1" s="1"/>
  <c r="W8" i="1" a="1"/>
  <c r="W8" i="1" s="1"/>
  <c r="W9" i="1" a="1"/>
  <c r="W9" i="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4" i="1" a="1"/>
  <c r="W54" i="1" s="1"/>
  <c r="W55" i="1" a="1"/>
  <c r="W55" i="1" s="1"/>
  <c r="W56" i="1" a="1"/>
  <c r="W56" i="1" s="1"/>
  <c r="W57" i="1" a="1"/>
  <c r="W57" i="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c r="W82" i="1" a="1"/>
  <c r="W82" i="1" s="1"/>
  <c r="W83" i="1" a="1"/>
  <c r="W83" i="1" s="1"/>
  <c r="W84" i="1" a="1"/>
  <c r="W84" i="1" s="1"/>
  <c r="W85" i="1" a="1"/>
  <c r="W85" i="1" s="1"/>
  <c r="W86" i="1" a="1"/>
  <c r="W86" i="1" s="1"/>
  <c r="W87" i="1" a="1"/>
  <c r="W87" i="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c r="W114" i="1" a="1"/>
  <c r="W114" i="1" s="1"/>
  <c r="W115" i="1" a="1"/>
  <c r="W115" i="1" s="1"/>
  <c r="W116" i="1" a="1"/>
  <c r="W116" i="1" s="1"/>
  <c r="W117" i="1" a="1"/>
  <c r="W117" i="1" s="1"/>
  <c r="W118" i="1" a="1"/>
  <c r="W118" i="1" s="1"/>
  <c r="W119" i="1" a="1"/>
  <c r="W119" i="1"/>
  <c r="W120" i="1" a="1"/>
  <c r="W120" i="1" s="1"/>
  <c r="W121" i="1" a="1"/>
  <c r="W121" i="1" s="1"/>
  <c r="W122" i="1" a="1"/>
  <c r="W122" i="1" s="1"/>
  <c r="W123" i="1" a="1"/>
  <c r="W123" i="1" s="1"/>
  <c r="W124" i="1" a="1"/>
  <c r="W124" i="1" s="1"/>
  <c r="W125" i="1" a="1"/>
  <c r="W125" i="1" s="1"/>
  <c r="W126" i="1" a="1"/>
  <c r="W126" i="1" s="1"/>
  <c r="W127" i="1" a="1"/>
  <c r="W127" i="1" s="1"/>
  <c r="W128" i="1" a="1"/>
  <c r="W128" i="1" s="1"/>
  <c r="W129" i="1" a="1"/>
  <c r="W129" i="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c r="W146" i="1" a="1"/>
  <c r="W146" i="1" s="1"/>
  <c r="W147" i="1" a="1"/>
  <c r="W147" i="1" s="1"/>
  <c r="W148" i="1" a="1"/>
  <c r="W148" i="1" s="1"/>
  <c r="W149" i="1" a="1"/>
  <c r="W149" i="1" s="1"/>
  <c r="W150" i="1" a="1"/>
  <c r="W150" i="1" s="1"/>
  <c r="W151" i="1" a="1"/>
  <c r="W151" i="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c r="W178" i="1" a="1"/>
  <c r="W178" i="1" s="1"/>
  <c r="W179" i="1" a="1"/>
  <c r="W179" i="1" s="1"/>
  <c r="W180" i="1" a="1"/>
  <c r="W180" i="1" s="1"/>
  <c r="W181" i="1" a="1"/>
  <c r="W181" i="1" s="1"/>
  <c r="W182" i="1" a="1"/>
  <c r="W182" i="1" s="1"/>
  <c r="W183" i="1" a="1"/>
  <c r="W183" i="1"/>
  <c r="W184" i="1" a="1"/>
  <c r="W184" i="1" s="1"/>
  <c r="W185" i="1" a="1"/>
  <c r="W185" i="1" s="1"/>
  <c r="W186" i="1" a="1"/>
  <c r="W186" i="1" s="1"/>
  <c r="W187" i="1" a="1"/>
  <c r="W187" i="1" s="1"/>
  <c r="W188" i="1" a="1"/>
  <c r="W188" i="1" s="1"/>
  <c r="W189" i="1" a="1"/>
  <c r="W189" i="1" s="1"/>
  <c r="W190" i="1" a="1"/>
  <c r="W190" i="1" s="1"/>
  <c r="W191" i="1" a="1"/>
  <c r="W191" i="1" s="1"/>
  <c r="W192" i="1" a="1"/>
  <c r="W192" i="1" s="1"/>
  <c r="W193" i="1" a="1"/>
  <c r="W193" i="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c r="W210" i="1" a="1"/>
  <c r="W210" i="1" s="1"/>
  <c r="W211" i="1" a="1"/>
  <c r="W211" i="1" s="1"/>
  <c r="W212" i="1" a="1"/>
  <c r="W212" i="1" s="1"/>
  <c r="W213" i="1" a="1"/>
  <c r="W213" i="1" s="1"/>
  <c r="W214" i="1" a="1"/>
  <c r="W214" i="1" s="1"/>
  <c r="W215" i="1" a="1"/>
  <c r="W215" i="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c r="W242" i="1" a="1"/>
  <c r="W242" i="1" s="1"/>
  <c r="W243" i="1" a="1"/>
  <c r="W243" i="1" s="1"/>
  <c r="W244" i="1" a="1"/>
  <c r="W244" i="1" s="1"/>
  <c r="W245" i="1" a="1"/>
  <c r="W245" i="1" s="1"/>
  <c r="W246" i="1" a="1"/>
  <c r="W246" i="1" s="1"/>
  <c r="W247" i="1" a="1"/>
  <c r="W247" i="1"/>
  <c r="W248" i="1" a="1"/>
  <c r="W248" i="1" s="1"/>
  <c r="W249" i="1" a="1"/>
  <c r="W249" i="1" s="1"/>
  <c r="W250" i="1" a="1"/>
  <c r="W250" i="1" s="1"/>
  <c r="W251" i="1" a="1"/>
  <c r="W251" i="1" s="1"/>
  <c r="W252" i="1" a="1"/>
  <c r="W252" i="1" s="1"/>
  <c r="W253" i="1" a="1"/>
  <c r="W253" i="1" s="1"/>
  <c r="W254" i="1" a="1"/>
  <c r="W254" i="1" s="1"/>
  <c r="W255" i="1" a="1"/>
  <c r="W255" i="1" s="1"/>
  <c r="W256" i="1" a="1"/>
  <c r="W256" i="1" s="1"/>
  <c r="W257" i="1" a="1"/>
  <c r="W257" i="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c r="W274" i="1" a="1"/>
  <c r="W274" i="1" s="1"/>
  <c r="W275" i="1" a="1"/>
  <c r="W275" i="1" s="1"/>
  <c r="W276" i="1" a="1"/>
  <c r="W276" i="1" s="1"/>
  <c r="W277" i="1" a="1"/>
  <c r="W277" i="1" s="1"/>
  <c r="W278" i="1" a="1"/>
  <c r="W278" i="1" s="1"/>
  <c r="W279" i="1" a="1"/>
  <c r="W279" i="1" s="1"/>
  <c r="W280" i="1" a="1"/>
  <c r="W280" i="1" s="1"/>
  <c r="W281" i="1" a="1"/>
  <c r="W281" i="1" s="1"/>
  <c r="W282" i="1" a="1"/>
  <c r="W282" i="1" s="1"/>
  <c r="W283" i="1" a="1"/>
  <c r="W283" i="1"/>
  <c r="W284" i="1" a="1"/>
  <c r="W284" i="1" s="1"/>
  <c r="W285" i="1" a="1"/>
  <c r="W285" i="1"/>
  <c r="W286" i="1" a="1"/>
  <c r="W286" i="1" s="1"/>
  <c r="W287" i="1" a="1"/>
  <c r="W287" i="1" s="1"/>
  <c r="W288" i="1" a="1"/>
  <c r="W288" i="1" s="1"/>
  <c r="W289" i="1" a="1"/>
  <c r="W289" i="1"/>
  <c r="W290" i="1" a="1"/>
  <c r="W290" i="1" s="1"/>
  <c r="W291" i="1" a="1"/>
  <c r="W291" i="1" s="1"/>
  <c r="W292" i="1" a="1"/>
  <c r="W292" i="1" s="1"/>
  <c r="W293" i="1" a="1"/>
  <c r="W293" i="1" s="1"/>
  <c r="W294" i="1" a="1"/>
  <c r="W294" i="1" s="1"/>
  <c r="W295" i="1" a="1"/>
  <c r="W295" i="1" s="1"/>
  <c r="W296" i="1" a="1"/>
  <c r="W296" i="1" s="1"/>
  <c r="W297" i="1" a="1"/>
  <c r="W297" i="1" s="1"/>
  <c r="W298" i="1" a="1"/>
  <c r="W298" i="1"/>
  <c r="W299" i="1" a="1"/>
  <c r="W299" i="1" s="1"/>
  <c r="W300" i="1" a="1"/>
  <c r="W300" i="1" s="1"/>
  <c r="W301" i="1" a="1"/>
  <c r="W301" i="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c r="W316" i="1" a="1"/>
  <c r="W316" i="1" s="1"/>
  <c r="W317" i="1" a="1"/>
  <c r="W317" i="1"/>
  <c r="W318" i="1" a="1"/>
  <c r="W318" i="1" s="1"/>
  <c r="W319" i="1" a="1"/>
  <c r="W319" i="1" s="1"/>
  <c r="W320" i="1" a="1"/>
  <c r="W320" i="1" s="1"/>
  <c r="W321" i="1" a="1"/>
  <c r="W321" i="1"/>
  <c r="W322" i="1" a="1"/>
  <c r="W322" i="1" s="1"/>
  <c r="W323" i="1" a="1"/>
  <c r="W323" i="1" s="1"/>
  <c r="W324" i="1" a="1"/>
  <c r="W324" i="1" s="1"/>
  <c r="W325" i="1" a="1"/>
  <c r="W325" i="1" s="1"/>
  <c r="W326" i="1" a="1"/>
  <c r="W326" i="1" s="1"/>
  <c r="W327" i="1" a="1"/>
  <c r="W327" i="1" s="1"/>
  <c r="W328" i="1" a="1"/>
  <c r="W328" i="1" s="1"/>
  <c r="W329" i="1" a="1"/>
  <c r="W329" i="1" s="1"/>
  <c r="W330" i="1" a="1"/>
  <c r="W330" i="1"/>
  <c r="W331" i="1" a="1"/>
  <c r="W331" i="1" s="1"/>
  <c r="W332" i="1" a="1"/>
  <c r="W332" i="1" s="1"/>
  <c r="W333" i="1" a="1"/>
  <c r="W333" i="1"/>
  <c r="W334" i="1" a="1"/>
  <c r="W334" i="1" s="1"/>
  <c r="W335" i="1" a="1"/>
  <c r="W335" i="1"/>
  <c r="W336" i="1" a="1"/>
  <c r="W336" i="1" s="1"/>
  <c r="W337" i="1" a="1"/>
  <c r="W337" i="1" s="1"/>
  <c r="W338" i="1" a="1"/>
  <c r="W338" i="1" s="1"/>
  <c r="W339" i="1" a="1"/>
  <c r="W339" i="1" s="1"/>
  <c r="W340" i="1" a="1"/>
  <c r="W340" i="1" s="1"/>
  <c r="W341" i="1" a="1"/>
  <c r="W341" i="1" s="1"/>
  <c r="W342" i="1" a="1"/>
  <c r="W342" i="1" s="1"/>
  <c r="W343" i="1" a="1"/>
  <c r="W343" i="1" s="1"/>
  <c r="W344" i="1" a="1"/>
  <c r="W344" i="1"/>
  <c r="W345" i="1" a="1"/>
  <c r="W345" i="1" s="1"/>
  <c r="W346" i="1" a="1"/>
  <c r="W346" i="1"/>
  <c r="W347" i="1" a="1"/>
  <c r="W347" i="1" s="1"/>
  <c r="W348" i="1" a="1"/>
  <c r="W348" i="1" s="1"/>
  <c r="W349" i="1" a="1"/>
  <c r="W349" i="1" s="1"/>
  <c r="W350" i="1" a="1"/>
  <c r="W350" i="1" s="1"/>
  <c r="W351" i="1" a="1"/>
  <c r="W351" i="1" s="1"/>
  <c r="W352" i="1" a="1"/>
  <c r="W352" i="1" s="1"/>
  <c r="W353" i="1" a="1"/>
  <c r="W353" i="1" s="1"/>
  <c r="W354" i="1" a="1"/>
  <c r="W354" i="1" s="1"/>
  <c r="W355" i="1" a="1"/>
  <c r="W355" i="1" s="1"/>
  <c r="W356" i="1" a="1"/>
  <c r="W356" i="1"/>
  <c r="W357" i="1" a="1"/>
  <c r="W357" i="1" s="1"/>
  <c r="W358" i="1" a="1"/>
  <c r="W358" i="1" s="1"/>
  <c r="W359" i="1" a="1"/>
  <c r="W359" i="1" s="1"/>
  <c r="W360" i="1" a="1"/>
  <c r="W360" i="1"/>
  <c r="W361" i="1" a="1"/>
  <c r="W361" i="1" s="1"/>
  <c r="W362" i="1" a="1"/>
  <c r="W362" i="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c r="W383" i="1" a="1"/>
  <c r="W383" i="1" s="1"/>
  <c r="W384" i="1" a="1"/>
  <c r="W384" i="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c r="W399" i="1" a="1"/>
  <c r="W399" i="1" s="1"/>
  <c r="W400" i="1" a="1"/>
  <c r="W400" i="1" s="1"/>
  <c r="W401" i="1" a="1"/>
  <c r="W401" i="1" s="1"/>
  <c r="W402" i="1" a="1"/>
  <c r="W402" i="1" s="1"/>
  <c r="W403" i="1" a="1"/>
  <c r="W403" i="1" s="1"/>
  <c r="W404" i="1" a="1"/>
  <c r="W404" i="1" s="1"/>
  <c r="W405" i="1" a="1"/>
  <c r="W405" i="1" s="1"/>
  <c r="W406" i="1" a="1"/>
  <c r="W406" i="1" s="1"/>
  <c r="W407" i="1" a="1"/>
  <c r="W407" i="1" s="1"/>
  <c r="W408" i="1" a="1"/>
  <c r="W408" i="1"/>
  <c r="W409" i="1" a="1"/>
  <c r="W409" i="1" s="1"/>
  <c r="W410" i="1" a="1"/>
  <c r="W410" i="1" s="1"/>
  <c r="W411" i="1" a="1"/>
  <c r="W411" i="1" s="1"/>
  <c r="W412" i="1" a="1"/>
  <c r="W412" i="1" s="1"/>
  <c r="W413" i="1" a="1"/>
  <c r="W413" i="1" s="1"/>
  <c r="W414" i="1" a="1"/>
  <c r="W414" i="1" s="1"/>
  <c r="W415" i="1" a="1"/>
  <c r="W415" i="1" s="1"/>
  <c r="W416" i="1" a="1"/>
  <c r="W416" i="1"/>
  <c r="W417" i="1" a="1"/>
  <c r="W417" i="1" s="1"/>
  <c r="W418" i="1" a="1"/>
  <c r="W418" i="1" s="1"/>
  <c r="W419" i="1" a="1"/>
  <c r="W419" i="1" s="1"/>
  <c r="W420" i="1" a="1"/>
  <c r="W420" i="1" s="1"/>
  <c r="W421" i="1" a="1"/>
  <c r="W421" i="1" s="1"/>
  <c r="W422" i="1" a="1"/>
  <c r="W422" i="1" s="1"/>
  <c r="W423" i="1" a="1"/>
  <c r="W423" i="1" s="1"/>
  <c r="W424" i="1" a="1"/>
  <c r="W424" i="1"/>
  <c r="W425" i="1" a="1"/>
  <c r="W425" i="1" s="1"/>
  <c r="W426" i="1" a="1"/>
  <c r="W426" i="1" s="1"/>
  <c r="W427" i="1" a="1"/>
  <c r="W427" i="1" s="1"/>
  <c r="W428" i="1" a="1"/>
  <c r="W428" i="1" s="1"/>
  <c r="W429" i="1" a="1"/>
  <c r="W429" i="1" s="1"/>
  <c r="W430" i="1" a="1"/>
  <c r="W430" i="1" s="1"/>
  <c r="W431" i="1" a="1"/>
  <c r="W431" i="1" s="1"/>
  <c r="W432" i="1" a="1"/>
  <c r="W432" i="1"/>
  <c r="W433" i="1" a="1"/>
  <c r="W433" i="1" s="1"/>
  <c r="W434" i="1" a="1"/>
  <c r="W434" i="1" s="1"/>
  <c r="W435" i="1" a="1"/>
  <c r="W435" i="1" s="1"/>
  <c r="W436" i="1" a="1"/>
  <c r="W436" i="1" s="1"/>
  <c r="W437" i="1" a="1"/>
  <c r="W437" i="1" s="1"/>
  <c r="W438" i="1" a="1"/>
  <c r="W438" i="1" s="1"/>
  <c r="W439" i="1" a="1"/>
  <c r="W439" i="1" s="1"/>
  <c r="W440" i="1" a="1"/>
  <c r="W440" i="1"/>
  <c r="W441" i="1" a="1"/>
  <c r="W441" i="1" s="1"/>
  <c r="W442" i="1" a="1"/>
  <c r="W442" i="1" s="1"/>
  <c r="W443" i="1" a="1"/>
  <c r="W443" i="1" s="1"/>
  <c r="W444" i="1" a="1"/>
  <c r="W444" i="1" s="1"/>
  <c r="W445" i="1" a="1"/>
  <c r="W445" i="1" s="1"/>
  <c r="W446" i="1" a="1"/>
  <c r="W446" i="1" s="1"/>
  <c r="W447" i="1" a="1"/>
  <c r="W447" i="1" s="1"/>
  <c r="W448" i="1" a="1"/>
  <c r="W448" i="1"/>
  <c r="W449" i="1" a="1"/>
  <c r="W449" i="1" s="1"/>
  <c r="W450" i="1" a="1"/>
  <c r="W450" i="1" s="1"/>
  <c r="W451" i="1" a="1"/>
  <c r="W451" i="1" s="1"/>
  <c r="W452" i="1" a="1"/>
  <c r="W452" i="1" s="1"/>
  <c r="W453" i="1" a="1"/>
  <c r="W453" i="1" s="1"/>
  <c r="W454" i="1" a="1"/>
  <c r="W454" i="1" s="1"/>
  <c r="W455" i="1" a="1"/>
  <c r="W455" i="1" s="1"/>
  <c r="W456" i="1" a="1"/>
  <c r="W456" i="1"/>
  <c r="W457" i="1" a="1"/>
  <c r="W457" i="1" s="1"/>
  <c r="W458" i="1" a="1"/>
  <c r="W458" i="1" s="1"/>
  <c r="W459" i="1" a="1"/>
  <c r="W459" i="1" s="1"/>
  <c r="W460" i="1" a="1"/>
  <c r="W460" i="1" s="1"/>
  <c r="W461" i="1" a="1"/>
  <c r="W461" i="1" s="1"/>
  <c r="W462" i="1" a="1"/>
  <c r="W462" i="1" s="1"/>
  <c r="W463" i="1" a="1"/>
  <c r="W463" i="1" s="1"/>
  <c r="W464" i="1" a="1"/>
  <c r="W464" i="1"/>
  <c r="W465" i="1" a="1"/>
  <c r="W465" i="1" s="1"/>
  <c r="W466" i="1" a="1"/>
  <c r="W466" i="1" s="1"/>
  <c r="W467" i="1" a="1"/>
  <c r="W467" i="1" s="1"/>
  <c r="W468" i="1" a="1"/>
  <c r="W468" i="1" s="1"/>
  <c r="W469" i="1" a="1"/>
  <c r="W469" i="1" s="1"/>
  <c r="W470" i="1" a="1"/>
  <c r="W470" i="1" s="1"/>
  <c r="W471" i="1" a="1"/>
  <c r="W471" i="1" s="1"/>
  <c r="W472" i="1" a="1"/>
  <c r="W472" i="1"/>
  <c r="W473" i="1" a="1"/>
  <c r="W473" i="1" s="1"/>
  <c r="W474" i="1" a="1"/>
  <c r="W474" i="1" s="1"/>
  <c r="W475" i="1" a="1"/>
  <c r="W475" i="1" s="1"/>
  <c r="W476" i="1" a="1"/>
  <c r="W476" i="1" s="1"/>
  <c r="W477" i="1" a="1"/>
  <c r="W477" i="1" s="1"/>
  <c r="W478" i="1" a="1"/>
  <c r="W478" i="1" s="1"/>
  <c r="W479" i="1" a="1"/>
  <c r="W479" i="1" s="1"/>
  <c r="W480" i="1" a="1"/>
  <c r="W480" i="1"/>
  <c r="W481" i="1" a="1"/>
  <c r="W481" i="1" s="1"/>
  <c r="W482" i="1" a="1"/>
  <c r="W482" i="1" s="1"/>
  <c r="W483" i="1" a="1"/>
  <c r="W483" i="1" s="1"/>
  <c r="W484" i="1" a="1"/>
  <c r="W484" i="1" s="1"/>
  <c r="W485" i="1" a="1"/>
  <c r="W485" i="1" s="1"/>
  <c r="W486" i="1" a="1"/>
  <c r="W486" i="1" s="1"/>
  <c r="W487" i="1" a="1"/>
  <c r="W487" i="1" s="1"/>
  <c r="W488" i="1" a="1"/>
  <c r="W488" i="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c r="W507" i="1" a="1"/>
  <c r="W507" i="1" s="1"/>
  <c r="W508" i="1" a="1"/>
  <c r="W508" i="1" s="1"/>
  <c r="W509" i="1" a="1"/>
  <c r="W509" i="1" s="1"/>
  <c r="W510" i="1" a="1"/>
  <c r="W510" i="1" s="1"/>
  <c r="W511" i="1" a="1"/>
  <c r="W511" i="1" s="1"/>
  <c r="W512" i="1" a="1"/>
  <c r="W512" i="1" s="1"/>
  <c r="W513" i="1" a="1"/>
  <c r="W513" i="1" s="1"/>
  <c r="W514" i="1" a="1"/>
  <c r="W514" i="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2" i="1" a="1"/>
  <c r="W2" i="1" s="1"/>
  <c r="F17" i="2"/>
  <c r="I19" i="2"/>
  <c r="I18" i="2"/>
  <c r="I17" i="2"/>
  <c r="C19" i="2"/>
  <c r="C18" i="2"/>
  <c r="C17" i="2"/>
  <c r="C3" i="2"/>
  <c r="I6" i="2"/>
  <c r="I5" i="2"/>
  <c r="I4" i="2"/>
  <c r="I3" i="2"/>
  <c r="C11" i="2"/>
  <c r="C10" i="2"/>
  <c r="C9" i="2"/>
  <c r="C8" i="2"/>
  <c r="C7" i="2"/>
  <c r="C6" i="2"/>
  <c r="C5" i="2"/>
  <c r="C4" i="2"/>
  <c r="F3" i="2"/>
  <c r="F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<sst xmlns="http://schemas.openxmlformats.org/spreadsheetml/2006/main" count="7706" uniqueCount="673">
  <si>
    <t>Ticket Number</t>
  </si>
  <si>
    <t>Date Created</t>
  </si>
  <si>
    <t>Subject</t>
  </si>
  <si>
    <t>From</t>
  </si>
  <si>
    <t>From Email</t>
  </si>
  <si>
    <t>Priority</t>
  </si>
  <si>
    <t>Department</t>
  </si>
  <si>
    <t>Type</t>
  </si>
  <si>
    <t>Source</t>
  </si>
  <si>
    <t>Current Status</t>
  </si>
  <si>
    <t>Last Updated</t>
  </si>
  <si>
    <t>Due Date</t>
  </si>
  <si>
    <t>Overdue</t>
  </si>
  <si>
    <t>Answered</t>
  </si>
  <si>
    <t>Agent Assigned</t>
  </si>
  <si>
    <t>Team Lead</t>
  </si>
  <si>
    <t>Team Assigned</t>
  </si>
  <si>
    <t>Thread Count</t>
  </si>
  <si>
    <t>Attachment Count</t>
  </si>
  <si>
    <t>Category</t>
  </si>
  <si>
    <t>Issue Origin</t>
  </si>
  <si>
    <t>Select Ticket Status Update</t>
  </si>
  <si>
    <t>SR No.</t>
  </si>
  <si>
    <t>Corrective Actions</t>
  </si>
  <si>
    <t>Preventive Actions</t>
  </si>
  <si>
    <t>Closed By</t>
  </si>
  <si>
    <t>Jasper John</t>
  </si>
  <si>
    <t>jasper.john@gmail.com</t>
  </si>
  <si>
    <t>Emergency</t>
  </si>
  <si>
    <t>SAP JDE Support Department</t>
  </si>
  <si>
    <t>Incident / Problem</t>
  </si>
  <si>
    <t>Web</t>
  </si>
  <si>
    <t>Closed</t>
  </si>
  <si>
    <t>Jared Smith</t>
  </si>
  <si>
    <t>SAP Support Team</t>
  </si>
  <si>
    <t>PROD</t>
  </si>
  <si>
    <t>PRODUCTION</t>
  </si>
  <si>
    <t>New Ticket</t>
  </si>
  <si>
    <t>Approval Workflow Error</t>
  </si>
  <si>
    <t>Erick White</t>
  </si>
  <si>
    <t>ewhite@yahoo.com</t>
  </si>
  <si>
    <t>Resolved</t>
  </si>
  <si>
    <t>Mark Jikkins</t>
  </si>
  <si>
    <t>JDE Support Team</t>
  </si>
  <si>
    <t>Tomi Yamamoto</t>
  </si>
  <si>
    <t>tyamamoto@gmail.com</t>
  </si>
  <si>
    <t>Network Team</t>
  </si>
  <si>
    <t>Riza Richardson</t>
  </si>
  <si>
    <t>Close Ticket</t>
  </si>
  <si>
    <t>Aurora Miller</t>
  </si>
  <si>
    <t>aurora.miller@outlook.com</t>
  </si>
  <si>
    <t>Open</t>
  </si>
  <si>
    <t>Kian Rogers</t>
  </si>
  <si>
    <t>Request</t>
  </si>
  <si>
    <t>NON-PROD</t>
  </si>
  <si>
    <t>TEST</t>
  </si>
  <si>
    <t>Kenex Willows</t>
  </si>
  <si>
    <t>kwillows@yahoo.com</t>
  </si>
  <si>
    <t>Stellar Murad</t>
  </si>
  <si>
    <t>Absence Duration</t>
  </si>
  <si>
    <t>Jane Wilberts</t>
  </si>
  <si>
    <t>Email</t>
  </si>
  <si>
    <t>DEVELOPMENT</t>
  </si>
  <si>
    <t>Marvin Peters</t>
  </si>
  <si>
    <t>mpeters@outlook.com</t>
  </si>
  <si>
    <t>Laptop Repair</t>
  </si>
  <si>
    <t>Monique Smiths</t>
  </si>
  <si>
    <t>msmiths@yahoo.com</t>
  </si>
  <si>
    <t>Phone</t>
  </si>
  <si>
    <t>System Downtime</t>
  </si>
  <si>
    <t>Melody Thompson</t>
  </si>
  <si>
    <t>mthompson@yahoo.com</t>
  </si>
  <si>
    <t>AWS Team</t>
  </si>
  <si>
    <t>John Brown</t>
  </si>
  <si>
    <t>jbrown@outlook.com</t>
  </si>
  <si>
    <t>Atom Short</t>
  </si>
  <si>
    <t>atom.short@gmail.com</t>
  </si>
  <si>
    <t>Help Desk Team</t>
  </si>
  <si>
    <t>Julius Wright</t>
  </si>
  <si>
    <t>jwirght@outlook.com</t>
  </si>
  <si>
    <t>Wilson Campus</t>
  </si>
  <si>
    <t>wilson.campus@yahoo.com</t>
  </si>
  <si>
    <t>Paul Jiggins</t>
  </si>
  <si>
    <t>pjiggins@yahoo.com</t>
  </si>
  <si>
    <t>Satya Prakash</t>
  </si>
  <si>
    <t>Raya Musk</t>
  </si>
  <si>
    <t>Joseph Reynolds</t>
  </si>
  <si>
    <t>jreynolds@yahoo.com</t>
  </si>
  <si>
    <t>Hardware Team</t>
  </si>
  <si>
    <t>Create Accounting Warning Error Messages</t>
  </si>
  <si>
    <t>Kimberly Jones</t>
  </si>
  <si>
    <t>kjones@outlook.com</t>
  </si>
  <si>
    <t>High</t>
  </si>
  <si>
    <t>Chedft_2018 Error Generating</t>
  </si>
  <si>
    <t>Applying Withholding Tax</t>
  </si>
  <si>
    <t>Self Service - Legislative Information</t>
  </si>
  <si>
    <t>Troy Daniels</t>
  </si>
  <si>
    <t>troy.daniels@outlook.com</t>
  </si>
  <si>
    <t>Slow Performance</t>
  </si>
  <si>
    <t>Create Accounting - Accounting Class Error</t>
  </si>
  <si>
    <t>Notifications</t>
  </si>
  <si>
    <t>Willard Smith</t>
  </si>
  <si>
    <t>BPM - ProcessMaker Support Team</t>
  </si>
  <si>
    <t>Reah Junes</t>
  </si>
  <si>
    <t>rjunes@yahoo.com</t>
  </si>
  <si>
    <t>Faculty Cannot Post Grade</t>
  </si>
  <si>
    <t>Integration Gateway</t>
  </si>
  <si>
    <t>Palo Alto Update</t>
  </si>
  <si>
    <t>Password Reset</t>
  </si>
  <si>
    <t>Port Forwarding</t>
  </si>
  <si>
    <t>Sheila Ryder</t>
  </si>
  <si>
    <t>Michelle Walters</t>
  </si>
  <si>
    <t>michelle.walters@yahoo.com</t>
  </si>
  <si>
    <t>Expense Report Approval Hierarchy Issue</t>
  </si>
  <si>
    <t>Winson Williams</t>
  </si>
  <si>
    <t>winson.williams@outlook.com</t>
  </si>
  <si>
    <t>Jose Satary</t>
  </si>
  <si>
    <t>Vic Vincent</t>
  </si>
  <si>
    <t>vic.vincent@yahoo.com</t>
  </si>
  <si>
    <t>Salary Basis</t>
  </si>
  <si>
    <t>Deferred Purchase Order Approvals</t>
  </si>
  <si>
    <t>Auto Approve Salary</t>
  </si>
  <si>
    <t>Dev Instance | Record View Issue</t>
  </si>
  <si>
    <t>Workday Team</t>
  </si>
  <si>
    <t>Normal</t>
  </si>
  <si>
    <t>Employee Legislative Information - Mismatch</t>
  </si>
  <si>
    <t>Appraisal Issue</t>
  </si>
  <si>
    <t>Integration Broker Issue</t>
  </si>
  <si>
    <t>Java Web Start Implementation</t>
  </si>
  <si>
    <t>Other</t>
  </si>
  <si>
    <t>Tablespace Issue</t>
  </si>
  <si>
    <t>Special Leave Issues</t>
  </si>
  <si>
    <t>Cherie Mercurie</t>
  </si>
  <si>
    <t>cmercurie@outlook.com</t>
  </si>
  <si>
    <t>Test Ticket</t>
  </si>
  <si>
    <t>Tuition Calculation Issue</t>
  </si>
  <si>
    <t>Closing Payables Accounting Period Issue</t>
  </si>
  <si>
    <t>Change Password</t>
  </si>
  <si>
    <t>Contact Details Update (Landing Page)</t>
  </si>
  <si>
    <t>Paul Smith</t>
  </si>
  <si>
    <t>Grace Evans</t>
  </si>
  <si>
    <t>Windows Error</t>
  </si>
  <si>
    <t>Jovan Brown</t>
  </si>
  <si>
    <t>Pradeep Sharma</t>
  </si>
  <si>
    <t>pradeep.sharma@outlook.com</t>
  </si>
  <si>
    <t>Rex Farris</t>
  </si>
  <si>
    <t>rfarris@yahoo.com</t>
  </si>
  <si>
    <t>Belle Garner</t>
  </si>
  <si>
    <t>Desktop Service</t>
  </si>
  <si>
    <t>Sophos Firewall Support</t>
  </si>
  <si>
    <t>Charles Thomas</t>
  </si>
  <si>
    <t>charles.thomas@outlook.com</t>
  </si>
  <si>
    <t>Paul Rivers</t>
  </si>
  <si>
    <t>Salesforce Team</t>
  </si>
  <si>
    <t>Create Accounting Issues</t>
  </si>
  <si>
    <t>Baliwag - Desktop Error</t>
  </si>
  <si>
    <t>Error Page</t>
  </si>
  <si>
    <t>Rue Whitaker</t>
  </si>
  <si>
    <t>rue.whitaker@yahoo.com</t>
  </si>
  <si>
    <t>Kenneth Greene</t>
  </si>
  <si>
    <t>k.greene@yahoo.com</t>
  </si>
  <si>
    <t>Sophia Walker</t>
  </si>
  <si>
    <t>swalker@outlook.com</t>
  </si>
  <si>
    <t>Microsoft Office Installation</t>
  </si>
  <si>
    <t>Units Overload</t>
  </si>
  <si>
    <t>Processmaker 3.3.7 Production Upgrade</t>
  </si>
  <si>
    <t>Tuition Calculation Error</t>
  </si>
  <si>
    <t>Grade Roster Generation Error</t>
  </si>
  <si>
    <t>Server Restart Request</t>
  </si>
  <si>
    <t>Relationship Module Message Error</t>
  </si>
  <si>
    <t>3C Engine Not Working</t>
  </si>
  <si>
    <t>Report Issue</t>
  </si>
  <si>
    <t>Batch Process Error</t>
  </si>
  <si>
    <t>Beacon Support Ticket Account</t>
  </si>
  <si>
    <t>Adding Flexfield</t>
  </si>
  <si>
    <t>Quick Enroll Error</t>
  </si>
  <si>
    <t>Database Access</t>
  </si>
  <si>
    <t>Ralph Rogers</t>
  </si>
  <si>
    <t>rrogers@yahoo.com</t>
  </si>
  <si>
    <t>Accounts</t>
  </si>
  <si>
    <t>Will Roberts</t>
  </si>
  <si>
    <t>Hung Concurrent Request: Open Budget Year</t>
  </si>
  <si>
    <t>Kezia Richards</t>
  </si>
  <si>
    <t>keziar@gmail.com</t>
  </si>
  <si>
    <t>Query Report Scheduler Issue</t>
  </si>
  <si>
    <t>Class Roster.</t>
  </si>
  <si>
    <t>Development Instance (. 83 )</t>
  </si>
  <si>
    <t>Separate Remittance Advices Setup</t>
  </si>
  <si>
    <t>Low</t>
  </si>
  <si>
    <t>Vacation Leave Rule</t>
  </si>
  <si>
    <t>Clear Cache Browser Concern</t>
  </si>
  <si>
    <t>Instance Connection Details</t>
  </si>
  <si>
    <t>Vacation Leave Issue</t>
  </si>
  <si>
    <t>View Leave Balance Error Page</t>
  </si>
  <si>
    <t>Apply Patch</t>
  </si>
  <si>
    <t>Tagging Completion Error</t>
  </si>
  <si>
    <t>Integration Gateway Error</t>
  </si>
  <si>
    <t>Deferred Internet Expenses</t>
  </si>
  <si>
    <t>Login Issues</t>
  </si>
  <si>
    <t>Sending Email Notification</t>
  </si>
  <si>
    <t>Password Issue</t>
  </si>
  <si>
    <t>Password Reset Issue</t>
  </si>
  <si>
    <t>Error Displaying In Different Module</t>
  </si>
  <si>
    <t>Public Ip Trusted Certificate Authority Error</t>
  </si>
  <si>
    <t>Jde Slowdown</t>
  </si>
  <si>
    <t>Jde Slow Down</t>
  </si>
  <si>
    <t>Error 504 Gateway Timeout Again</t>
  </si>
  <si>
    <t>Login Issue</t>
  </si>
  <si>
    <t>"Bea.Jolt" Login Error</t>
  </si>
  <si>
    <t>Open Vpn Authenticator App Setup</t>
  </si>
  <si>
    <t>Can'T Access Prod Instance</t>
  </si>
  <si>
    <t>Requesting A Server For Deployment</t>
  </si>
  <si>
    <t>Error 504 Gateway Timeout</t>
  </si>
  <si>
    <t>Error For Winscp Application</t>
  </si>
  <si>
    <t>Sap Not Accessible</t>
  </si>
  <si>
    <t>Sap Production Is Down</t>
  </si>
  <si>
    <t>Prod: Slowdown Of Jde In Production Instance</t>
  </si>
  <si>
    <t>Error On Finish Enrolling</t>
  </si>
  <si>
    <t>Request For Reconfigure Of Palo Alto</t>
  </si>
  <si>
    <t>Delete Or Rollback A Payroll Run</t>
  </si>
  <si>
    <t>Batch Process Of Student Groups Not Working.</t>
  </si>
  <si>
    <t>Bpm Staging Error</t>
  </si>
  <si>
    <t>Palo Alto Device No Lights On Lan Ports</t>
  </si>
  <si>
    <t>Cannot Login In Sap</t>
  </si>
  <si>
    <t>Sap Is Not Accessible</t>
  </si>
  <si>
    <t>Jde Prod Not Available</t>
  </si>
  <si>
    <t>Error 504</t>
  </si>
  <si>
    <t>Create Specific Function In The Responsibility</t>
  </si>
  <si>
    <t>Error Loading Position List In Authority To Travel</t>
  </si>
  <si>
    <t>Oracle Hrms - Element Entry Setup</t>
  </si>
  <si>
    <t>Jde Prod - Error In Workflow Background Process</t>
  </si>
  <si>
    <t>Jde Prod - Slowdown Access</t>
  </si>
  <si>
    <t>Jde Prod Error - Fail Web Server</t>
  </si>
  <si>
    <t>Jde Prod - Request Not Completing</t>
  </si>
  <si>
    <t>Jde Prod Slowdown</t>
  </si>
  <si>
    <t>Sql Error</t>
  </si>
  <si>
    <t>Fortigate 200E Expiration.</t>
  </si>
  <si>
    <t>Error Uploading Template In Report Definition</t>
  </si>
  <si>
    <t>Spms - Approver'S Page</t>
  </si>
  <si>
    <t>Up Los Baños Not Included In Pmp</t>
  </si>
  <si>
    <t>Java Loads But Won'T Launch Applet</t>
  </si>
  <si>
    <t>End Date Element Entries For 300 Employees</t>
  </si>
  <si>
    <t>Slowdown In Jde Prod</t>
  </si>
  <si>
    <t>Errors In Odsm</t>
  </si>
  <si>
    <t>Odsm Login Issue</t>
  </si>
  <si>
    <t>Odsm Issue</t>
  </si>
  <si>
    <t>App-Sqlap-10000 In Payables Module</t>
  </si>
  <si>
    <t>Vpn Setup</t>
  </si>
  <si>
    <t>Cannot Generate Report After Db Downgrade</t>
  </si>
  <si>
    <t>Web Adi Issue</t>
  </si>
  <si>
    <t>Error Still Occured In Bee Spreadsheet Page</t>
  </si>
  <si>
    <t>Oracle Web Adi: Fatal Error</t>
  </si>
  <si>
    <t>Error Page In Bee Spreadsheet Interface</t>
  </si>
  <si>
    <t>Url Attachment - Authority To Fill</t>
  </si>
  <si>
    <t>Set Up And Configuration Of Eset</t>
  </si>
  <si>
    <t>Workspace Problem After Bpm Version Upgrade</t>
  </si>
  <si>
    <t>Find Oracle Table Of Position Occupancy</t>
  </si>
  <si>
    <t>Replace Actual Email In Test Instance</t>
  </si>
  <si>
    <t>Can'T Access My Account</t>
  </si>
  <si>
    <t>Deferred Po Transactions</t>
  </si>
  <si>
    <t>Expense Report Stuck At Ame Approval Process/Block</t>
  </si>
  <si>
    <t>Server Failed To Start (Application Server)</t>
  </si>
  <si>
    <t>Jde Approval Cannot Be Approved Or Transferred</t>
  </si>
  <si>
    <t>Cs 9.2 Server Issue</t>
  </si>
  <si>
    <t>Application Designer In 9.0 Prod</t>
  </si>
  <si>
    <t>Can'T Access Test Instance</t>
  </si>
  <si>
    <t>Prod: Security Changed In Latest Start Date Field</t>
  </si>
  <si>
    <t>Reset Of Palo Alto</t>
  </si>
  <si>
    <t>Sf Error</t>
  </si>
  <si>
    <t>Slow Loading Of Sap Jan 10 2020</t>
  </si>
  <si>
    <t>Ame Approval Udpdates Not Reflecting In The Db</t>
  </si>
  <si>
    <t>Peoplesoft Restricted Service</t>
  </si>
  <si>
    <t>Can'T Login User Account</t>
  </si>
  <si>
    <t>Jde Prod Error Page Upon Login</t>
  </si>
  <si>
    <t>Adding Of Subject Enrollment Issue</t>
  </si>
  <si>
    <t>Palo Alto Blocking Internet Of User</t>
  </si>
  <si>
    <t>Requesting For On-Site Visit</t>
  </si>
  <si>
    <t>Up Custom Application - Print Receipt Button</t>
  </si>
  <si>
    <t>Scheduled Payment Amount Different From Dv Amount</t>
  </si>
  <si>
    <t>Missing Content On The Ff Process Objects</t>
  </si>
  <si>
    <t>Jde Prod Error In Validation Of Dv</t>
  </si>
  <si>
    <t>Jde Test: Error In Java Applet</t>
  </si>
  <si>
    <t>[Sap] Term Activate A Student</t>
  </si>
  <si>
    <t>Class Permission Of For 200-3 In Uplb</t>
  </si>
  <si>
    <t>Update The Landing Page</t>
  </si>
  <si>
    <t>[Test Instance] Hung Concurrent Requests</t>
  </si>
  <si>
    <t>Test Instance - License Expired</t>
  </si>
  <si>
    <t>Can'T Access Odsm</t>
  </si>
  <si>
    <t>Sap Production Slowdown</t>
  </si>
  <si>
    <t>Sql Error Message</t>
  </si>
  <si>
    <t>Openvpn Problem</t>
  </si>
  <si>
    <t>Setup Of Earnings</t>
  </si>
  <si>
    <t>Jde Prod - Error Status Of Transactions</t>
  </si>
  <si>
    <t>[Oaf] $Custom_Top Path</t>
  </si>
  <si>
    <t>Legal Case System Error</t>
  </si>
  <si>
    <t>Vpn Access</t>
  </si>
  <si>
    <t>Workflow Notification Won'T Start</t>
  </si>
  <si>
    <t>Cos Issue-Missing Remarks</t>
  </si>
  <si>
    <t>Cos Issue-Application Error Encountered</t>
  </si>
  <si>
    <t>Application Cache Stock On Queued</t>
  </si>
  <si>
    <t>Jde Prod - Timeout Expense Report</t>
  </si>
  <si>
    <t>Transactions Are Being Deferred</t>
  </si>
  <si>
    <t>Jde Prod - Requests Not Completing</t>
  </si>
  <si>
    <t>Upou Cannot Print Saln</t>
  </si>
  <si>
    <t>Jde Prod - Error In Updating Ame Setup</t>
  </si>
  <si>
    <t>Deferred Reqjdeition Approvals</t>
  </si>
  <si>
    <t>Missing Spms Pmp 2016, 2017 And 2018</t>
  </si>
  <si>
    <t>Sap Dev Instance Can’T Be Reached</t>
  </si>
  <si>
    <t>Maximum Number Of Session Exceeded And Page Error</t>
  </si>
  <si>
    <t>Error In Submitting Updated Approved Pos</t>
  </si>
  <si>
    <t>Approval Notification Not Forwarding</t>
  </si>
  <si>
    <t>Error In Submission Of Ppmp</t>
  </si>
  <si>
    <t>Total Unit Passed</t>
  </si>
  <si>
    <t>Cannot Access / Incorrect Data On Log In Page</t>
  </si>
  <si>
    <t>Cannot Access Jde-Sit In Mac</t>
  </si>
  <si>
    <t>Cannot Open Attachment In Jde Sit</t>
  </si>
  <si>
    <t>Stuck Pr And Ppmp Approval</t>
  </si>
  <si>
    <t>How To Run Sql Package</t>
  </si>
  <si>
    <t>Display Footer On Generated Report.</t>
  </si>
  <si>
    <t>Bee Spreadsheet Issue</t>
  </si>
  <si>
    <t>How To Prevent Our Api To Sql Injection</t>
  </si>
  <si>
    <t>Jde Payables Upmin Attachment</t>
  </si>
  <si>
    <t>Optimize The Created Query.</t>
  </si>
  <si>
    <t>Creation Of User For Integration Broker Permission</t>
  </si>
  <si>
    <t>Past Due Balance Posted In Student Center</t>
  </si>
  <si>
    <t>Creation Of Separate Nodes</t>
  </si>
  <si>
    <t>Post Issue - Sap Slow Performance</t>
  </si>
  <si>
    <t>Cloudflare Blocked Uploading Xml</t>
  </si>
  <si>
    <t>Retropay Report Not Displaying In Pdf</t>
  </si>
  <si>
    <t>1900 Emails From Jde Workflow Notif Mailer</t>
  </si>
  <si>
    <t>Dv Approval Error</t>
  </si>
  <si>
    <t>Locked Out Openvpn Account</t>
  </si>
  <si>
    <t>[Test Only]:::Sap Reset Password</t>
  </si>
  <si>
    <t>[Test Only]:::[Sap]Page Not Available</t>
  </si>
  <si>
    <t>How To Override Set-Up In Created Element</t>
  </si>
  <si>
    <t>Extraction Of Data On Odsm.</t>
  </si>
  <si>
    <t>Post Issue - Sap Login Issues Encountered</t>
  </si>
  <si>
    <t>Post Issue - Sap Slow Performance Issue</t>
  </si>
  <si>
    <t>Configuration Related To Web Browser To Open Java</t>
  </si>
  <si>
    <t>Issues In Up General Payroll Scholars Report</t>
  </si>
  <si>
    <t xml:space="preserve">Post Issue - Getting "No Space Left On Device" </t>
  </si>
  <si>
    <t>[Sap] Page Is Not Available</t>
  </si>
  <si>
    <t>Post Issue - Bind Failed / Odsm Down</t>
  </si>
  <si>
    <t>Openvpn Error</t>
  </si>
  <si>
    <t>Slow Performance Of Sap/Sap Too Long To Load</t>
  </si>
  <si>
    <t>Cashier Officer Can'T Use Search In Sap (Upceb)</t>
  </si>
  <si>
    <t>Error Appeared Maintain Schedule Of Classes Module</t>
  </si>
  <si>
    <t>Received Email Notifs On 01-Feb-2021</t>
  </si>
  <si>
    <t>Revising The Contact Information</t>
  </si>
  <si>
    <t>Post Issue - Can'T Login To Sap</t>
  </si>
  <si>
    <t>Request For Vpn Account</t>
  </si>
  <si>
    <t>Integration Broker Issue (Test)</t>
  </si>
  <si>
    <t>Demo Units For Pullout</t>
  </si>
  <si>
    <t>License Is Not Yet Activated / Reflected In Fortic</t>
  </si>
  <si>
    <t>Error On My Reqjdeition Table</t>
  </si>
  <si>
    <t>Error On Odsm.</t>
  </si>
  <si>
    <t>Error Upon Sending Notification.</t>
  </si>
  <si>
    <t>Deletion Of Nid Data In Add/Update A Person Module</t>
  </si>
  <si>
    <t>New Vpn Account</t>
  </si>
  <si>
    <t>Iso Copying Problem</t>
  </si>
  <si>
    <t>Laptop Has Been Experiencing More Crashes</t>
  </si>
  <si>
    <t>Itdc Servers Not Accessible</t>
  </si>
  <si>
    <t>Open Vpn Account Locked</t>
  </si>
  <si>
    <t>Request To Update The Privacy Policy Link</t>
  </si>
  <si>
    <t>[Odsm] Cannot Extract Ldif File</t>
  </si>
  <si>
    <t>Os Installation For Dot Client</t>
  </si>
  <si>
    <t>Customized Sql Script In Report - Internet Details</t>
  </si>
  <si>
    <t>Slow Performance And Defective Dell Battery</t>
  </si>
  <si>
    <t>Vpn Password Reset</t>
  </si>
  <si>
    <t>Remove Authentication</t>
  </si>
  <si>
    <t>Communication Error With Sql Client(Hris System)</t>
  </si>
  <si>
    <t>100% Usage Disk (Windows 10)</t>
  </si>
  <si>
    <t>Jde Prod - Web Components Status</t>
  </si>
  <si>
    <t>Jde Downtime (Post Issue Ticket)</t>
  </si>
  <si>
    <t>Openvpn Account</t>
  </si>
  <si>
    <t>Laptop Running Slow</t>
  </si>
  <si>
    <t>Test</t>
  </si>
  <si>
    <t>Tasks And Targets Editing (Spms)</t>
  </si>
  <si>
    <t>Process Multiple Payroll Runs Of Employees</t>
  </si>
  <si>
    <t>Buffer Error In Class Cost 110</t>
  </si>
  <si>
    <t>Laptop Memory Upgrade</t>
  </si>
  <si>
    <t>Defective Hardisk</t>
  </si>
  <si>
    <t>Microsoft Office Installation And Firmware Update</t>
  </si>
  <si>
    <t>Google Drive Not Working</t>
  </si>
  <si>
    <t>Old System Unit Parts And Unused Laptops</t>
  </si>
  <si>
    <t>Slow Performance Issue</t>
  </si>
  <si>
    <t>No Success When Generating Reports</t>
  </si>
  <si>
    <t>Unique Value For Transaction Flexfield Issue</t>
  </si>
  <si>
    <t>Dell Soppotassist Has Detected A Failing Component</t>
  </si>
  <si>
    <t>Hp Printer Not Working</t>
  </si>
  <si>
    <t>Open Udp Ports 161 And 162</t>
  </si>
  <si>
    <t>Error In Log-In</t>
  </si>
  <si>
    <t>Secure Connection Failed Page - Test Instance</t>
  </si>
  <si>
    <t>Open Ports Fro Ftp Data Connection</t>
  </si>
  <si>
    <t>Vpn Accounts Creation</t>
  </si>
  <si>
    <t>Open Ip Ports</t>
  </si>
  <si>
    <t>Vpn Accounts</t>
  </si>
  <si>
    <t>Request To Restart Again The Sap Dev Server</t>
  </si>
  <si>
    <t>Disable "Sickness" And "Other"</t>
  </si>
  <si>
    <t>Error: Site Can'T Be Reach</t>
  </si>
  <si>
    <t>Slow Performance Laptop</t>
  </si>
  <si>
    <t>Error In Grade Roster</t>
  </si>
  <si>
    <t>Replace Actual Emails In Jde Test Isntance</t>
  </si>
  <si>
    <t>Iphone Support</t>
  </si>
  <si>
    <t>Laptop - Battery Repair</t>
  </si>
  <si>
    <t>Test Using List</t>
  </si>
  <si>
    <t>Assdasd Testing</t>
  </si>
  <si>
    <t>Testing Not Working</t>
  </si>
  <si>
    <t>Testing Ticketing Not Appearing</t>
  </si>
  <si>
    <t>Cannot See Category In Ticketing</t>
  </si>
  <si>
    <t>Auto Creation Of Po From Approved Reqjdeitions</t>
  </si>
  <si>
    <t>Palo Alto Configuration</t>
  </si>
  <si>
    <t>Error In Email Of Ms. Eliza</t>
  </si>
  <si>
    <t>App Engine Not Posting</t>
  </si>
  <si>
    <t>Restart Of Physical Server In Coloc</t>
  </si>
  <si>
    <t>Epldt Dev Instance</t>
  </si>
  <si>
    <t>Test: Cannot Save Batch Element With Costing</t>
  </si>
  <si>
    <t>Cos- Application Error Has Occurred In Your Proces</t>
  </si>
  <si>
    <t>Eci Is Not Working In Sap 9.0</t>
  </si>
  <si>
    <t>Jde Test: Error When Updating Email Via Sql</t>
  </si>
  <si>
    <t>Installation Of Empson Printer And Scanner</t>
  </si>
  <si>
    <t>Po Approval Timeouts</t>
  </si>
  <si>
    <t>Processes Are Stock On Queued</t>
  </si>
  <si>
    <t>Smtp Issue In Sap Prod</t>
  </si>
  <si>
    <t>Dev Instance Redirecting To Prod</t>
  </si>
  <si>
    <t>Cos - Application Error</t>
  </si>
  <si>
    <t>Prod: Gray Out Fields, Cannot Input Data</t>
  </si>
  <si>
    <t>Globalprotect Connection</t>
  </si>
  <si>
    <t>Po Submission Error In Test Instance</t>
  </si>
  <si>
    <t>Prod: Correct Latest Start Date Of Employee</t>
  </si>
  <si>
    <t>Node Ping Error [Cs 9.2]</t>
  </si>
  <si>
    <t>Peopletools Client Dpk</t>
  </si>
  <si>
    <t>Coloc Server Is Down</t>
  </si>
  <si>
    <t>Idle Time</t>
  </si>
  <si>
    <t>Compatibility Of Windows 10 On Palo Alto</t>
  </si>
  <si>
    <t>Jde Prod Invoice Approval Issue</t>
  </si>
  <si>
    <t>Vpn Password</t>
  </si>
  <si>
    <t>Jde Prod Error Page</t>
  </si>
  <si>
    <t>Peopletools 8.57 On Client Machine</t>
  </si>
  <si>
    <t>Jde Prod - Different User Account</t>
  </si>
  <si>
    <t>Booting Up Sap 9.2 In Globe Server​</t>
  </si>
  <si>
    <t>Dev Db Refresh From Prod Data</t>
  </si>
  <si>
    <t>Patch Application To Set Up Web Services</t>
  </si>
  <si>
    <t>Prod: Restrictions In Assignment Set</t>
  </si>
  <si>
    <t>Error In Form 5.</t>
  </si>
  <si>
    <t>Updating Description Of Course Mcb 11.</t>
  </si>
  <si>
    <t>Change Password &amp; Email Confirmation</t>
  </si>
  <si>
    <t>Double Amount In Eor/View Customer Account</t>
  </si>
  <si>
    <t>Request To Access In Public</t>
  </si>
  <si>
    <t>Prod: Zero Value In Payroll Run Result</t>
  </si>
  <si>
    <t>Prod: Cos - Record Has Been Entered Already</t>
  </si>
  <si>
    <t>Jde Test: End Date The Multiple Element Entries</t>
  </si>
  <si>
    <t>Vpn For Coloc Instances</t>
  </si>
  <si>
    <t>Jde Test - Slowdown</t>
  </si>
  <si>
    <t>Dev Instance Not Accessible</t>
  </si>
  <si>
    <t>Dev Instance: Adding Extra Assignment Information</t>
  </si>
  <si>
    <t>How To Get Image In Bi Publisher</t>
  </si>
  <si>
    <t>Cannot Connect To Vpn</t>
  </si>
  <si>
    <t>App-Pay-07010 Cannot Insert Assignment Process</t>
  </si>
  <si>
    <t>Jde Prod Dv Approval Issue</t>
  </si>
  <si>
    <t>Prod: Error Value Scholar Has Been Disabled</t>
  </si>
  <si>
    <t>Duplicates Subject In Eor.</t>
  </si>
  <si>
    <t>Test Instance: Add New Element Under Entries</t>
  </si>
  <si>
    <t>Jde Test Instance Slowdown</t>
  </si>
  <si>
    <t>Data Error In Production Instance</t>
  </si>
  <si>
    <t>Mysql Server Access Configuration</t>
  </si>
  <si>
    <t>Test Instance: Modify Employee Categories</t>
  </si>
  <si>
    <t>Test Instance: App-Pay-07722 Error</t>
  </si>
  <si>
    <t>Project Migration From Dev To Prod Instance</t>
  </si>
  <si>
    <t>Prod: Error In Procurement</t>
  </si>
  <si>
    <t>Jde Prod Error In Paying A Dv</t>
  </si>
  <si>
    <t>Enrolled Students Are Not Equal In Class Roster</t>
  </si>
  <si>
    <t>Jde Prod - Expense Report Approval Issue</t>
  </si>
  <si>
    <t>Request For Patch Application In Dev Instance</t>
  </si>
  <si>
    <t>Jde Test Date Format</t>
  </si>
  <si>
    <t>Jde Prod - Bank Account Issue</t>
  </si>
  <si>
    <t>Error On Submitting Authority To Fill</t>
  </si>
  <si>
    <t>Jde Test Instance - Error Not Setup As Worker</t>
  </si>
  <si>
    <t>Prod: Find A Specific Table In Oracle</t>
  </si>
  <si>
    <t>Rehab 260(Osi)Error</t>
  </si>
  <si>
    <t>Removing Access To The Enrollment Page</t>
  </si>
  <si>
    <t>Test Instance: Can'T Copy Paste Data In The Field</t>
  </si>
  <si>
    <t>Test Instance: How To Unchecked The Required Box</t>
  </si>
  <si>
    <t>Can'T Run A General Payroll Under Dev Environment</t>
  </si>
  <si>
    <t>Box Unchecked Under The Processed Button</t>
  </si>
  <si>
    <t>Authority To Fill Error Using Dev &amp; Test Instance</t>
  </si>
  <si>
    <t>Error In Process Request.</t>
  </si>
  <si>
    <t>Sql Database Account Prod</t>
  </si>
  <si>
    <t>Vpn Account</t>
  </si>
  <si>
    <t>Altering Position Type(List Of Values)</t>
  </si>
  <si>
    <t>Creation Of Vpn Account</t>
  </si>
  <si>
    <t>Error Accesing Sap.Edu.Ph</t>
  </si>
  <si>
    <t>Prod: Can'T Delete Records Under Research Fields</t>
  </si>
  <si>
    <t>Jde Prod - Create Accounting-Completed Warning</t>
  </si>
  <si>
    <t>Error Occurs In Organization</t>
  </si>
  <si>
    <t>Sap Dev Instance</t>
  </si>
  <si>
    <t>Appointment For Reps Report Error</t>
  </si>
  <si>
    <t>Jde Prod Error Page Issue</t>
  </si>
  <si>
    <t>Cannot Print Payslips And Payroll Reports</t>
  </si>
  <si>
    <t>Jde Prod - Withdraw/ Cancel An Approved Er</t>
  </si>
  <si>
    <t>Saln Report Blank</t>
  </si>
  <si>
    <t>Errors Encountered During Test Instance</t>
  </si>
  <si>
    <t>Beacon Solution Account</t>
  </si>
  <si>
    <t>Jde Error: You Have Encountered An Unexpected….</t>
  </si>
  <si>
    <t>Jde Test Instance Not Accessible</t>
  </si>
  <si>
    <t>Request For Instructions For Post-Cloning Steps Fo</t>
  </si>
  <si>
    <t>No Student Enrolled In Class.</t>
  </si>
  <si>
    <t>Cannot Delete Duplicate Records Of 3 Employees</t>
  </si>
  <si>
    <t>Openvpn Locked Account</t>
  </si>
  <si>
    <t>Portal Problem</t>
  </si>
  <si>
    <t>Jde Prod - Error Page</t>
  </si>
  <si>
    <t>Request For Read-Only Access To Prod Db</t>
  </si>
  <si>
    <t>Verify Long-Running Sql Code</t>
  </si>
  <si>
    <t>Cross-Reg Gwa Computation</t>
  </si>
  <si>
    <t>Reverse Payment With Loan Charge</t>
  </si>
  <si>
    <t>Authority To Fill Error</t>
  </si>
  <si>
    <t>Jde Prod - Dv Approval Issue</t>
  </si>
  <si>
    <t>Jde Test Instance - Notification Search Criteria</t>
  </si>
  <si>
    <t>Authentication Failed When Running Reports</t>
  </si>
  <si>
    <t>Testing Email Alerts</t>
  </si>
  <si>
    <t>Error When Opening Java Applet</t>
  </si>
  <si>
    <t>Jde Test Instance - Workflow Background Process</t>
  </si>
  <si>
    <t>Error When Creating Organization On Test</t>
  </si>
  <si>
    <t>Automatic Approval Of Salary</t>
  </si>
  <si>
    <t>Missing Project In App Design/Db</t>
  </si>
  <si>
    <t>Error When Filing Authority To Fill</t>
  </si>
  <si>
    <t>Cannot Connect To Prod Database</t>
  </si>
  <si>
    <t>Dev Not Accessible</t>
  </si>
  <si>
    <t>Timed Out Transactions In The Worklist Of Approver</t>
  </si>
  <si>
    <t>Vpn</t>
  </si>
  <si>
    <t>Error Message Upon Clicking The Responsibility</t>
  </si>
  <si>
    <t>Preparation For 9.2 Upgrade</t>
  </si>
  <si>
    <t>Deferred Status Ame Approval Expense Report</t>
  </si>
  <si>
    <t>Issue With Workflow Administrator Responsibility</t>
  </si>
  <si>
    <t>List Of Master Data In Sap</t>
  </si>
  <si>
    <t>Dev Instance</t>
  </si>
  <si>
    <t>View Pmp Reports Of All Users</t>
  </si>
  <si>
    <t>Excel-To-Ci Incomplete Fields</t>
  </si>
  <si>
    <t>Error Page Upon Log In To Jde Prod</t>
  </si>
  <si>
    <t>Error In Accessing Authority To Hire</t>
  </si>
  <si>
    <t>Attach/Link An Approver Group To A Rule</t>
  </si>
  <si>
    <t>Missing Contents In Table</t>
  </si>
  <si>
    <t>Batch Element Entry Error</t>
  </si>
  <si>
    <t>Request And Disable Account</t>
  </si>
  <si>
    <t>Authority To Hire Page Disabled</t>
  </si>
  <si>
    <t>Excel-To-Ci</t>
  </si>
  <si>
    <t>Generating Ched_Ft_2018 Report</t>
  </si>
  <si>
    <t>Student Is Not Appearing On The Classroster</t>
  </si>
  <si>
    <t>Issue On Report Paths</t>
  </si>
  <si>
    <t>Error Adding New Tables On Audit Trail</t>
  </si>
  <si>
    <t>Set Timeout In Oracle Workflow</t>
  </si>
  <si>
    <t>Exclude Public Holidays From Absence Duration</t>
  </si>
  <si>
    <t>Submission Of Leave</t>
  </si>
  <si>
    <t>Procedure Or Document About Refreshing Db</t>
  </si>
  <si>
    <t>Spms Report</t>
  </si>
  <si>
    <t>Application Of Leave Error</t>
  </si>
  <si>
    <t>9.2 Dev Db Backup, Then Restore To 9.2 Test</t>
  </si>
  <si>
    <t>Error Upon Saving Template</t>
  </si>
  <si>
    <t>Request Eci For The Student Advisor Page</t>
  </si>
  <si>
    <t>Dv Approval</t>
  </si>
  <si>
    <t>Jde Error Page After Prod Activity</t>
  </si>
  <si>
    <t>Run Sqr File In Cs 9.2</t>
  </si>
  <si>
    <t>No Search Results Returned In Cs 9.2</t>
  </si>
  <si>
    <t>Removing Student Program/Plan.</t>
  </si>
  <si>
    <t>Restart Of Instances</t>
  </si>
  <si>
    <t>Java.Lang.Nullpointerexception In Dev Environment</t>
  </si>
  <si>
    <t>We Cannot Find Up_Form5_1.</t>
  </si>
  <si>
    <t>Open Vpn Accounts</t>
  </si>
  <si>
    <t>Sap Dev Instance Not Accessible</t>
  </si>
  <si>
    <t>Can'T Access Dev. Instance</t>
  </si>
  <si>
    <t>Faculty Roles For Viewing Query Report</t>
  </si>
  <si>
    <t>Component Interface Based Web Services Error</t>
  </si>
  <si>
    <t>Wget.Sh Error Encountered</t>
  </si>
  <si>
    <t>Slow Loading In Sap</t>
  </si>
  <si>
    <t>Sap Production Downtime Issue</t>
  </si>
  <si>
    <t>Port Issue After Patching Activity</t>
  </si>
  <si>
    <t>N/A</t>
  </si>
  <si>
    <t>InterN/Al Technical Department</t>
  </si>
  <si>
    <t>rrichardson@mailiN/Ator.com</t>
  </si>
  <si>
    <t>Hr Technical AN/Alyzer In Test</t>
  </si>
  <si>
    <t>krogers@mailiN/Ator.com</t>
  </si>
  <si>
    <t>jwilberts@mailiN/Ator.com</t>
  </si>
  <si>
    <t>Prod: IN/Active Phase / Status: No MaN/Ager</t>
  </si>
  <si>
    <t>Sql Access MaN/Ager Sql Error</t>
  </si>
  <si>
    <t>UN/Able To Login In Prod Instance</t>
  </si>
  <si>
    <t>willard.smith@mailiN/Ator.com</t>
  </si>
  <si>
    <t>UN/Able To Access The Cs 9.2</t>
  </si>
  <si>
    <t>UN/Able To Print Approved Certificate Of Service</t>
  </si>
  <si>
    <t>CrimiN/Al Case System</t>
  </si>
  <si>
    <t>sryder@mailiN/Ator.com</t>
  </si>
  <si>
    <t>Issue With JourN/Al Import Via JourN/Al Wizard</t>
  </si>
  <si>
    <t>MultiteN/Ant Error</t>
  </si>
  <si>
    <t>UN/Able To Tuition Calc For The Specific Student.</t>
  </si>
  <si>
    <t>Legal Case System - CrimiN/Al Case</t>
  </si>
  <si>
    <t>Cannot TermiN/Ate Assignment Of An Employee</t>
  </si>
  <si>
    <t>Dev Server UN/Able To Boot Up</t>
  </si>
  <si>
    <t>UN/Able To Log In To Jde Prod</t>
  </si>
  <si>
    <t>UN/Able To Add Attachment In The Invoice</t>
  </si>
  <si>
    <t>How To Whitelist Domain N/Ame In Sap Api</t>
  </si>
  <si>
    <t>Loading Upon Saving Expression On Query MaN/Ager</t>
  </si>
  <si>
    <t>UN/Able To Attach Update Xml File In Data Def</t>
  </si>
  <si>
    <t>Expression Output On Query MaN/Ager</t>
  </si>
  <si>
    <t>Cannot TermiN/Ate Employment</t>
  </si>
  <si>
    <t>Bladimir MacdoN/Ald</t>
  </si>
  <si>
    <t>bmacdoN/Ald@outlook.com</t>
  </si>
  <si>
    <t>Person AN/Alyzer</t>
  </si>
  <si>
    <t>Person AN/Alyzer For 132939</t>
  </si>
  <si>
    <t>Post Issue - Sql Access MaN/Agersql</t>
  </si>
  <si>
    <t>CheeN/A Carols</t>
  </si>
  <si>
    <t>cheeN/A.carols@mailiN/Ator.com</t>
  </si>
  <si>
    <t>paul.smith@mailiN/Ator.com</t>
  </si>
  <si>
    <t>gevans@mailiN/Ator.com</t>
  </si>
  <si>
    <t>PersoN/Alization On Shopping Cart Buttons</t>
  </si>
  <si>
    <t>jovan_brown@mailiN/Ator.com</t>
  </si>
  <si>
    <t>JourN/Al Import Error</t>
  </si>
  <si>
    <t>belle.garner@mailiN/Ator.com</t>
  </si>
  <si>
    <t>Request Status 'No MaN/Ager'</t>
  </si>
  <si>
    <t>Hr Technical AN/Alyzer Output</t>
  </si>
  <si>
    <t>privers@mailiN/Ator.com</t>
  </si>
  <si>
    <t>Leave MaN/Agement - Leave Balance Issue</t>
  </si>
  <si>
    <t>Approval - PersoN/Al Information (Basic Details)</t>
  </si>
  <si>
    <t>Request AdditioN/Al Storage</t>
  </si>
  <si>
    <t>Altering Field - ExterN/Al Learning</t>
  </si>
  <si>
    <t>PersoN/Alization Of Iprocurement Icons/Button</t>
  </si>
  <si>
    <t>ExterN/Al Learning - N/Avigation</t>
  </si>
  <si>
    <t>Zoom UN/Able To Install</t>
  </si>
  <si>
    <t>UN/Able To Process Batch Term Activate</t>
  </si>
  <si>
    <t>ReN/Aming In Jde Via Page PersoN/Alization</t>
  </si>
  <si>
    <t>Adding "Leave MaN/Agement" Menu</t>
  </si>
  <si>
    <t>UN/Able To Add Iscsi Software Adapter</t>
  </si>
  <si>
    <t>UN/Able To Boot The Application Server</t>
  </si>
  <si>
    <t>UN/Able To Connect To Cs 9.2 Database From Win 10</t>
  </si>
  <si>
    <t>Activation Of Cost MaN/Agers</t>
  </si>
  <si>
    <t>UN/Able To Startup The Vncserver</t>
  </si>
  <si>
    <t>UN/Able To Perform Search After The Restart</t>
  </si>
  <si>
    <t>Dev: Error On ExterN/Al Learning</t>
  </si>
  <si>
    <t>Jde Prod Slowdown Posting JourN/Al</t>
  </si>
  <si>
    <t>Slow To IN/Accessible Test Instance</t>
  </si>
  <si>
    <t>Modifying Of Fields In ExterN/Al Learning</t>
  </si>
  <si>
    <t>Sort Element N/Ame Alphabetically</t>
  </si>
  <si>
    <t>UN/Able To Tuition Calculate The Student (Upmnl)</t>
  </si>
  <si>
    <t>UN/Able To Submit Certificates And Service Records</t>
  </si>
  <si>
    <t>Missing DyN/Aform N/Ames</t>
  </si>
  <si>
    <t>Query MaN/Ager Error</t>
  </si>
  <si>
    <t>UN/Able To Get Term Begin Date. (14813,43)</t>
  </si>
  <si>
    <t>EN/Able Report MaN/Ager For All</t>
  </si>
  <si>
    <t>Login Page UserN/Ame Field Issue</t>
  </si>
  <si>
    <t>UN/Able To Received Email Notif. On Passchanged</t>
  </si>
  <si>
    <t>wroberts@mailiN/Ator.com</t>
  </si>
  <si>
    <t>Jde Display Error Upon Clicking Hr ProfessioN/Al</t>
  </si>
  <si>
    <t>Assistance For Iprocurement Page PersoN/Alization</t>
  </si>
  <si>
    <t>Training Process N/Ame</t>
  </si>
  <si>
    <t>IN/Active Session In Web Server</t>
  </si>
  <si>
    <t>UN/Able To Show The Class In Aa Ui / Report</t>
  </si>
  <si>
    <t>Total Tickets per Team</t>
  </si>
  <si>
    <t>Total Tickets per Priority</t>
  </si>
  <si>
    <t>Total Tickets per Type</t>
  </si>
  <si>
    <t>Total Open/Answered Tickets</t>
  </si>
  <si>
    <t>Total Current Status Ticket</t>
  </si>
  <si>
    <t>Total Tickets from Source</t>
  </si>
  <si>
    <t>Open/Answered</t>
  </si>
  <si>
    <t>Current Status/Answered</t>
  </si>
  <si>
    <t>SLA Due Date</t>
  </si>
  <si>
    <t>Breached SLA</t>
  </si>
  <si>
    <t>Enter Ticket Number:</t>
  </si>
  <si>
    <t>Status</t>
  </si>
  <si>
    <t>Row Labels</t>
  </si>
  <si>
    <t>Grand Total</t>
  </si>
  <si>
    <t>Count of Team Assigned</t>
  </si>
  <si>
    <t>Count of Priority</t>
  </si>
  <si>
    <t>Current Ticket per Status</t>
  </si>
  <si>
    <t>Count of Ticket per Current Status</t>
  </si>
  <si>
    <t>Count of Team Assigned2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</si>
</sst>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1" xfId="0" applyBorder="1"/>
    <xf numFmtId="0" fontId="1" fillId="0" borderId="0" xfId="0" applyFont="1"/>
    <xf numFmtId="0" fontId="0" fillId="0" borderId="0" xfId="0" applyAlignment="1">
      <alignment horizontal="left"/>
    </xf>
    <xf numFmtId="0" fontId="3" fillId="0" borderId="1" xfId="0" applyFont="1" applyBorder="1"/>
    <xf numFmtId="0" fontId="0" fillId="0" borderId="1" xfId="0" applyBorder="1" applyAlignment="1">
      <alignment horizontal="left"/>
    </xf>
    <xf numFmtId="164" fontId="0" fillId="0" borderId="1" xfId="0" applyNumberFormat="1" applyBorder="1" applyAlignment="1">
      <alignment horizontal="left"/>
    </xf>
    <xf numFmtId="164" fontId="1" fillId="0" borderId="0" xfId="0" applyNumberFormat="1" applyFont="1"/>
    <xf numFmtId="0" fontId="2" fillId="0" borderId="0" xfId="0" applyFont="1"/>
    <xf numFmtId="0" fontId="3" fillId="0" borderId="0" xfId="0" applyFont="1"/>
    <xf numFmtId="164" fontId="0" fillId="0" borderId="0" xfId="0" applyNumberFormat="1"/>
    <xf numFmtId="164" fontId="3" fillId="0" borderId="0" xfId="0" applyNumberFormat="1" applyFont="1"/>
    <xf numFmtId="0" fontId="1" fillId="0" borderId="0" xfId="0" applyFont="1" applyAlignment="1">
      <alignment horizontal="left"/>
    </xf>
    <xf numFmtId="0" fontId="0" fillId="0" borderId="0" xfId="0" pivotButton="1"/>
    <xf numFmtId="0" fontId="0" fillId="0" borderId="1" xfId="0" pivotButton="1" applyBorder="1"/>
    <xf numFmtId="0" fontId="0" fillId="0" borderId="0" xfId="0" applyNumberFormat="1"/>
    <xf numFmtId="0" fontId="0" fillId="0" borderId="1" xfId="0" applyNumberFormat="1" applyBorder="1"/>
    <xf numFmtId="10" fontId="0" fillId="0" borderId="1" xfId="0" applyNumberFormat="1" applyBorder="1"/>
    <xf numFmtId="0" fontId="0" fillId="0" borderId="2" xfId="0" applyBorder="1"/>
    <xf numFmtId="0" fontId="0" fillId="0" borderId="0" xfId="0" applyBorder="1" applyAlignment="1">
      <alignment horizontal="center"/>
    </xf>
  </cellXfs>
  <cellStyles count="1">
    <cellStyle name="Normal" xfId="0" builtinId="0"/>
  </cellStyles>
  <dxfs count="1005">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right/>
        <bottom/>
      </border>
    </dxf>
    <dxf>
      <border>
        <left/>
        <right/>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hh:mm:ss"/>
    </dxf>
    <dxf>
      <font>
        <b val="0"/>
        <i val="0"/>
        <strike val="0"/>
        <condense val="0"/>
        <extend val="0"/>
        <outline val="0"/>
        <shadow val="0"/>
        <u val="none"/>
        <vertAlign val="baseline"/>
        <sz val="10"/>
        <color theme="1"/>
        <name val="Arial"/>
        <scheme val="minor"/>
      </font>
      <numFmt numFmtId="164" formatCode="dd/mm/yyyy\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[helpdesk_tickets Presentation.xlsx]Pivot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Ticket</a:t>
            </a:r>
            <a:r>
              <a:rPr lang="en-US" baseline="0"/>
              <a:t> per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chart'!$C$5</c:f>
              <c:strCache>
                <c:ptCount val="1"/>
                <c:pt idx="0">
                  <c:v>Total</c:v>
                </c:pt>
              </c:strCache>
            </c:strRef>
          </c:tx>
          <c:spPr>
            <a:solidFill>
              <a:schemeClr val="accent1"/>
            </a:solidFill>
            <a:ln>
              <a:noFill/>
            </a:ln>
            <a:effectLst/>
          </c:spPr>
          <c:invertIfNegative val="0"/>
          <c:cat>
            <c:strRef>
              <c:f>'Pivot chart'!$B$6:$B$9</c:f>
              <c:strCache>
                <c:ptCount val="3"/>
                <c:pt idx="0">
                  <c:v>Closed</c:v>
                </c:pt>
                <c:pt idx="1">
                  <c:v>Open</c:v>
                </c:pt>
                <c:pt idx="2">
                  <c:v>Resolved</c:v>
                </c:pt>
              </c:strCache>
            </c:strRef>
          </c:cat>
          <c:val>
            <c:numRef>
              <c:f>'Pivot chart'!$C$6:$C$9</c:f>
              <c:numCache>
                <c:formatCode>General</c:formatCode>
                <c:ptCount val="3"/>
                <c:pt idx="0">
                  <c:v>288</c:v>
                </c:pt>
                <c:pt idx="1">
                  <c:v>15</c:v>
                </c:pt>
                <c:pt idx="2">
                  <c:v>8</c:v>
                </c:pt>
              </c:numCache>
            </c:numRef>
          </c:val>
          <c:extLst>
            <c:ext xmlns:c16="http://schemas.microsoft.com/office/drawing/2014/chart" uri="{C3380CC4-5D6E-409C-BE32-E72D297353CC}">
              <c16:uniqueId val="{00000002-DAAF-4F4A-9277-5729D21126A8}"/>
            </c:ext>
          </c:extLst>
        </c:ser>
        <c:dLbls>
          <c:showLegendKey val="0"/>
          <c:showVal val="0"/>
          <c:showCatName val="0"/>
          <c:showSerName val="0"/>
          <c:showPercent val="0"/>
          <c:showBubbleSize val="0"/>
        </c:dLbls>
        <c:gapWidth val="219"/>
        <c:overlap val="-27"/>
        <c:axId val="1623455583"/>
        <c:axId val="1623453663"/>
      </c:barChart>
      <c:catAx>
        <c:axId val="162345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53663"/>
        <c:crosses val="autoZero"/>
        <c:auto val="1"/>
        <c:lblAlgn val="ctr"/>
        <c:lblOffset val="100"/>
        <c:noMultiLvlLbl val="0"/>
      </c:catAx>
      <c:valAx>
        <c:axId val="162345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45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47625</xdr:colOff>
      <xdr:row>2</xdr:row>
      <xdr:rowOff>95250</xdr:rowOff>
    </xdr:from>
    <xdr:to>
      <xdr:col>18</xdr:col>
      <xdr:colOff>47625</xdr:colOff>
      <xdr:row>14</xdr:row>
      <xdr:rowOff>38100</xdr:rowOff>
    </xdr:to>
    <mc:AlternateContent xmlns:mc="http://schemas.openxmlformats.org/markup-compatibility/2006">
      <mc:Choice xmlns:a14="http://schemas.microsoft.com/office/drawing/2010/main" Requires="a14">
        <xdr:graphicFrame macro="">
          <xdr:nvGraphicFramePr>
            <xdr:cNvPr id="2" name="Agent Assigned">
              <a:extLst>
                <a:ext uri="{FF2B5EF4-FFF2-40B4-BE49-F238E27FC236}">
                  <a16:creationId xmlns:a16="http://schemas.microsoft.com/office/drawing/2014/main" id="{B47E0179-375F-0CB2-27B2-2359DB8AD345}"/>
                </a:ext>
              </a:extLst>
            </xdr:cNvPr>
            <xdr:cNvGraphicFramePr/>
          </xdr:nvGraphicFramePr>
          <xdr:xfrm>
            <a:off x="0" y="0"/>
            <a:ext cx="0" cy="0"/>
          </xdr:xfrm>
          <a:graphic>
            <a:graphicData uri="http://schemas.microsoft.com/office/drawing/2010/slicer">
              <sle:slicer xmlns:sle="http://schemas.microsoft.com/office/drawing/2010/slicer" name="Agent Assigned"/>
            </a:graphicData>
          </a:graphic>
        </xdr:graphicFrame>
      </mc:Choice>
      <mc:Fallback>
        <xdr:sp macro="" textlink="">
          <xdr:nvSpPr>
            <xdr:cNvPr id="0" name=""/>
            <xdr:cNvSpPr>
              <a:spLocks noTextEdit="1"/>
            </xdr:cNvSpPr>
          </xdr:nvSpPr>
          <xdr:spPr>
            <a:xfrm>
              <a:off x="12430125" y="419100"/>
              <a:ext cx="1828800" cy="18859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104775</xdr:colOff>
      <xdr:row>19</xdr:row>
      <xdr:rowOff>76199</xdr:rowOff>
    </xdr:from>
    <xdr:to>
      <xdr:col>17</xdr:col>
      <xdr:colOff>104775</xdr:colOff>
      <xdr:row>36</xdr:row>
      <xdr:rowOff>76199</xdr:rowOff>
    </xdr:to>
    <mc:AlternateContent xmlns:mc="http://schemas.openxmlformats.org/markup-compatibility/2006">
      <mc:Choice xmlns:a14="http://schemas.microsoft.com/office/drawing/2010/main" Requires="a14">
        <xdr:graphicFrame macro="">
          <xdr:nvGraphicFramePr>
            <xdr:cNvPr id="3" name="Team Assigned">
              <a:extLst>
                <a:ext uri="{FF2B5EF4-FFF2-40B4-BE49-F238E27FC236}">
                  <a16:creationId xmlns:a16="http://schemas.microsoft.com/office/drawing/2014/main" id="{5E04C6A0-3125-D184-44AA-48466BB9661A}"/>
                </a:ext>
              </a:extLst>
            </xdr:cNvPr>
            <xdr:cNvGraphicFramePr/>
          </xdr:nvGraphicFramePr>
          <xdr:xfrm>
            <a:off x="0" y="0"/>
            <a:ext cx="0" cy="0"/>
          </xdr:xfrm>
          <a:graphic>
            <a:graphicData uri="http://schemas.microsoft.com/office/drawing/2010/slicer">
              <sle:slicer xmlns:sle="http://schemas.microsoft.com/office/drawing/2010/slicer" name="Team Assigned"/>
            </a:graphicData>
          </a:graphic>
        </xdr:graphicFrame>
      </mc:Choice>
      <mc:Fallback>
        <xdr:sp macro="" textlink="">
          <xdr:nvSpPr>
            <xdr:cNvPr id="0" name=""/>
            <xdr:cNvSpPr>
              <a:spLocks noTextEdit="1"/>
            </xdr:cNvSpPr>
          </xdr:nvSpPr>
          <xdr:spPr>
            <a:xfrm>
              <a:off x="11877675" y="3152774"/>
              <a:ext cx="1828800" cy="27527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219075</xdr:colOff>
      <xdr:row>12</xdr:row>
      <xdr:rowOff>95250</xdr:rowOff>
    </xdr:from>
    <xdr:to>
      <xdr:col>13</xdr:col>
      <xdr:colOff>419100</xdr:colOff>
      <xdr:row>19</xdr:row>
      <xdr:rowOff>85725</xdr:rowOff>
    </xdr:to>
    <mc:AlternateContent xmlns:mc="http://schemas.openxmlformats.org/markup-compatibility/2006">
      <mc:Choice xmlns:a14="http://schemas.microsoft.com/office/drawing/2010/main" Requires="a14">
        <xdr:graphicFrame macro="">
          <xdr:nvGraphicFramePr>
            <xdr:cNvPr id="4" name="Current Status">
              <a:extLst>
                <a:ext uri="{FF2B5EF4-FFF2-40B4-BE49-F238E27FC236}">
                  <a16:creationId xmlns:a16="http://schemas.microsoft.com/office/drawing/2014/main" id="{1486F497-1E38-E681-643B-FAC52BDE3198}"/>
                </a:ext>
              </a:extLst>
            </xdr:cNvPr>
            <xdr:cNvGraphicFramePr/>
          </xdr:nvGraphicFramePr>
          <xdr:xfrm>
            <a:off x="0" y="0"/>
            <a:ext cx="0" cy="0"/>
          </xdr:xfrm>
          <a:graphic>
            <a:graphicData uri="http://schemas.microsoft.com/office/drawing/2010/slicer">
              <sle:slicer xmlns:sle="http://schemas.microsoft.com/office/drawing/2010/slicer" name="Current Status"/>
            </a:graphicData>
          </a:graphic>
        </xdr:graphicFrame>
      </mc:Choice>
      <mc:Fallback>
        <xdr:sp macro="" textlink="">
          <xdr:nvSpPr>
            <xdr:cNvPr id="0" name=""/>
            <xdr:cNvSpPr>
              <a:spLocks noTextEdit="1"/>
            </xdr:cNvSpPr>
          </xdr:nvSpPr>
          <xdr:spPr>
            <a:xfrm>
              <a:off x="9582150" y="2038350"/>
              <a:ext cx="1828800" cy="11239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33</xdr:row>
      <xdr:rowOff>123825</xdr:rowOff>
    </xdr:from>
    <xdr:to>
      <xdr:col>9</xdr:col>
      <xdr:colOff>361950</xdr:colOff>
      <xdr:row>39</xdr:row>
      <xdr:rowOff>28575</xdr:rowOff>
    </xdr:to>
    <mc:AlternateContent xmlns:mc="http://schemas.openxmlformats.org/markup-compatibility/2006">
      <mc:Choice xmlns:a14="http://schemas.microsoft.com/office/drawing/2010/main" Requires="a14">
        <xdr:graphicFrame macro="">
          <xdr:nvGraphicFramePr>
            <xdr:cNvPr id="5" name="Overdue">
              <a:extLst>
                <a:ext uri="{FF2B5EF4-FFF2-40B4-BE49-F238E27FC236}">
                  <a16:creationId xmlns:a16="http://schemas.microsoft.com/office/drawing/2014/main" id="{F5A90093-E4DC-5BF2-5E69-C3FD484FFA8D}"/>
                </a:ext>
              </a:extLst>
            </xdr:cNvPr>
            <xdr:cNvGraphicFramePr/>
          </xdr:nvGraphicFramePr>
          <xdr:xfrm>
            <a:off x="0" y="0"/>
            <a:ext cx="0" cy="0"/>
          </xdr:xfrm>
          <a:graphic>
            <a:graphicData uri="http://schemas.microsoft.com/office/drawing/2010/slicer">
              <sle:slicer xmlns:sle="http://schemas.microsoft.com/office/drawing/2010/slicer" name="Overdue"/>
            </a:graphicData>
          </a:graphic>
        </xdr:graphicFrame>
      </mc:Choice>
      <mc:Fallback>
        <xdr:sp macro="" textlink="">
          <xdr:nvSpPr>
            <xdr:cNvPr id="0" name=""/>
            <xdr:cNvSpPr>
              <a:spLocks noTextEdit="1"/>
            </xdr:cNvSpPr>
          </xdr:nvSpPr>
          <xdr:spPr>
            <a:xfrm>
              <a:off x="7419975" y="5467350"/>
              <a:ext cx="1828800" cy="8763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361950</xdr:colOff>
      <xdr:row>28</xdr:row>
      <xdr:rowOff>38100</xdr:rowOff>
    </xdr:from>
    <xdr:to>
      <xdr:col>9</xdr:col>
      <xdr:colOff>400050</xdr:colOff>
      <xdr:row>33</xdr:row>
      <xdr:rowOff>85724</xdr:rowOff>
    </xdr:to>
    <mc:AlternateContent xmlns:mc="http://schemas.openxmlformats.org/markup-compatibility/2006">
      <mc:Choice xmlns:a14="http://schemas.microsoft.com/office/drawing/2010/main" Requires="a14">
        <xdr:graphicFrame macro="">
          <xdr:nvGraphicFramePr>
            <xdr:cNvPr id="6" name="Answered">
              <a:extLst>
                <a:ext uri="{FF2B5EF4-FFF2-40B4-BE49-F238E27FC236}">
                  <a16:creationId xmlns:a16="http://schemas.microsoft.com/office/drawing/2014/main" id="{BCF902F3-3F02-E0F8-C335-2126200FF4C9}"/>
                </a:ext>
              </a:extLst>
            </xdr:cNvPr>
            <xdr:cNvGraphicFramePr/>
          </xdr:nvGraphicFramePr>
          <xdr:xfrm>
            <a:off x="0" y="0"/>
            <a:ext cx="0" cy="0"/>
          </xdr:xfrm>
          <a:graphic>
            <a:graphicData uri="http://schemas.microsoft.com/office/drawing/2010/slicer">
              <sle:slicer xmlns:sle="http://schemas.microsoft.com/office/drawing/2010/slicer" name="Answered"/>
            </a:graphicData>
          </a:graphic>
        </xdr:graphicFrame>
      </mc:Choice>
      <mc:Fallback>
        <xdr:sp macro="" textlink="">
          <xdr:nvSpPr>
            <xdr:cNvPr id="0" name=""/>
            <xdr:cNvSpPr>
              <a:spLocks noTextEdit="1"/>
            </xdr:cNvSpPr>
          </xdr:nvSpPr>
          <xdr:spPr>
            <a:xfrm>
              <a:off x="7458075" y="4572000"/>
              <a:ext cx="1828800" cy="85724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314325</xdr:colOff>
      <xdr:row>12</xdr:row>
      <xdr:rowOff>47624</xdr:rowOff>
    </xdr:from>
    <xdr:to>
      <xdr:col>9</xdr:col>
      <xdr:colOff>352425</xdr:colOff>
      <xdr:row>19</xdr:row>
      <xdr:rowOff>57150</xdr:rowOff>
    </xdr:to>
    <mc:AlternateContent xmlns:mc="http://schemas.openxmlformats.org/markup-compatibility/2006">
      <mc:Choice xmlns:a14="http://schemas.microsoft.com/office/drawing/2010/main" Requires="a14">
        <xdr:graphicFrame macro="">
          <xdr:nvGraphicFramePr>
            <xdr:cNvPr id="7" name="Breached SLA 1">
              <a:extLst>
                <a:ext uri="{FF2B5EF4-FFF2-40B4-BE49-F238E27FC236}">
                  <a16:creationId xmlns:a16="http://schemas.microsoft.com/office/drawing/2014/main" id="{2847F929-F849-052A-0DA1-FA2F4018C008}"/>
                </a:ext>
              </a:extLst>
            </xdr:cNvPr>
            <xdr:cNvGraphicFramePr/>
          </xdr:nvGraphicFramePr>
          <xdr:xfrm>
            <a:off x="0" y="0"/>
            <a:ext cx="0" cy="0"/>
          </xdr:xfrm>
          <a:graphic>
            <a:graphicData uri="http://schemas.microsoft.com/office/drawing/2010/slicer">
              <sle:slicer xmlns:sle="http://schemas.microsoft.com/office/drawing/2010/slicer" name="Breached SLA 1"/>
            </a:graphicData>
          </a:graphic>
        </xdr:graphicFrame>
      </mc:Choice>
      <mc:Fallback>
        <xdr:sp macro="" textlink="">
          <xdr:nvSpPr>
            <xdr:cNvPr id="0" name=""/>
            <xdr:cNvSpPr>
              <a:spLocks noTextEdit="1"/>
            </xdr:cNvSpPr>
          </xdr:nvSpPr>
          <xdr:spPr>
            <a:xfrm>
              <a:off x="7410450" y="1990724"/>
              <a:ext cx="1828800" cy="11430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18</xdr:col>
      <xdr:colOff>19050</xdr:colOff>
      <xdr:row>33</xdr:row>
      <xdr:rowOff>0</xdr:rowOff>
    </xdr:to>
    <xdr:graphicFrame macro="">
      <xdr:nvGraphicFramePr>
        <xdr:cNvPr id="2" name="Chart 1">
          <a:extLst>
            <a:ext uri="{FF2B5EF4-FFF2-40B4-BE49-F238E27FC236}">
              <a16:creationId xmlns:a16="http://schemas.microsoft.com/office/drawing/2014/main" id="{57E670B5-0B4E-8D0C-7FA2-142B26CEB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47625</xdr:colOff>
      <xdr:row>16</xdr:row>
      <xdr:rowOff>9525</xdr:rowOff>
    </xdr:from>
    <xdr:to>
      <xdr:col>21</xdr:col>
      <xdr:colOff>47625</xdr:colOff>
      <xdr:row>24</xdr:row>
      <xdr:rowOff>66675</xdr:rowOff>
    </xdr:to>
    <mc:AlternateContent xmlns:mc="http://schemas.openxmlformats.org/markup-compatibility/2006" xmlns:a14="http://schemas.microsoft.com/office/drawing/2010/main">
      <mc:Choice Requires="a14">
        <xdr:graphicFrame macro="">
          <xdr:nvGraphicFramePr>
            <xdr:cNvPr id="3" name="Priority">
              <a:extLst>
                <a:ext uri="{FF2B5EF4-FFF2-40B4-BE49-F238E27FC236}">
                  <a16:creationId xmlns:a16="http://schemas.microsoft.com/office/drawing/2014/main" id="{90B3EF08-A9D0-87F7-06CD-C8CDB3FBAEBF}"/>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3430250" y="2600325"/>
              <a:ext cx="1828800" cy="13525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3</xdr:row>
      <xdr:rowOff>1</xdr:rowOff>
    </xdr:from>
    <xdr:to>
      <xdr:col>21</xdr:col>
      <xdr:colOff>38100</xdr:colOff>
      <xdr:row>8</xdr:row>
      <xdr:rowOff>47626</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4626644A-28BB-0106-5741-34E7B3B1C3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420725" y="485776"/>
              <a:ext cx="1828800" cy="8572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9</xdr:row>
      <xdr:rowOff>28575</xdr:rowOff>
    </xdr:from>
    <xdr:to>
      <xdr:col>21</xdr:col>
      <xdr:colOff>38100</xdr:colOff>
      <xdr:row>14</xdr:row>
      <xdr:rowOff>76200</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E8A7BD61-41C6-2865-ACD9-24A24D1557B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3420725" y="1485900"/>
              <a:ext cx="1828800" cy="8572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28575</xdr:colOff>
      <xdr:row>25</xdr:row>
      <xdr:rowOff>19050</xdr:rowOff>
    </xdr:from>
    <xdr:to>
      <xdr:col>21</xdr:col>
      <xdr:colOff>28575</xdr:colOff>
      <xdr:row>33</xdr:row>
      <xdr:rowOff>123825</xdr:rowOff>
    </xdr:to>
    <mc:AlternateContent xmlns:mc="http://schemas.openxmlformats.org/markup-compatibility/2006" xmlns:a14="http://schemas.microsoft.com/office/drawing/2010/main">
      <mc:Choice Requires="a14">
        <xdr:graphicFrame macro="">
          <xdr:nvGraphicFramePr>
            <xdr:cNvPr id="6" name="Source">
              <a:extLst>
                <a:ext uri="{FF2B5EF4-FFF2-40B4-BE49-F238E27FC236}">
                  <a16:creationId xmlns:a16="http://schemas.microsoft.com/office/drawing/2014/main" id="{241DD90D-3020-012D-DE2D-6F748A8DC4E7}"/>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3411200" y="4067175"/>
              <a:ext cx="1828800" cy="14001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3</xdr:row>
      <xdr:rowOff>28575</xdr:rowOff>
    </xdr:from>
    <xdr:to>
      <xdr:col>25</xdr:col>
      <xdr:colOff>9525</xdr:colOff>
      <xdr:row>9</xdr:row>
      <xdr:rowOff>142875</xdr:rowOff>
    </xdr:to>
    <mc:AlternateContent xmlns:mc="http://schemas.openxmlformats.org/markup-compatibility/2006" xmlns:a14="http://schemas.microsoft.com/office/drawing/2010/main">
      <mc:Choice Requires="a14">
        <xdr:graphicFrame macro="">
          <xdr:nvGraphicFramePr>
            <xdr:cNvPr id="7" name="Breached SLA">
              <a:extLst>
                <a:ext uri="{FF2B5EF4-FFF2-40B4-BE49-F238E27FC236}">
                  <a16:creationId xmlns:a16="http://schemas.microsoft.com/office/drawing/2014/main" id="{92856699-48CB-9E86-6877-DCD067DC4A0A}"/>
                </a:ext>
              </a:extLst>
            </xdr:cNvPr>
            <xdr:cNvGraphicFramePr/>
          </xdr:nvGraphicFramePr>
          <xdr:xfrm>
            <a:off x="0" y="0"/>
            <a:ext cx="0" cy="0"/>
          </xdr:xfrm>
          <a:graphic>
            <a:graphicData uri="http://schemas.microsoft.com/office/drawing/2010/slicer">
              <sle:slicer xmlns:sle="http://schemas.microsoft.com/office/drawing/2010/slicer" name="Breached SLA"/>
            </a:graphicData>
          </a:graphic>
        </xdr:graphicFrame>
      </mc:Choice>
      <mc:Fallback xmlns="">
        <xdr:sp macro="" textlink="">
          <xdr:nvSpPr>
            <xdr:cNvPr id="0" name=""/>
            <xdr:cNvSpPr>
              <a:spLocks noTextEdit="1"/>
            </xdr:cNvSpPr>
          </xdr:nvSpPr>
          <xdr:spPr>
            <a:xfrm>
              <a:off x="15830550" y="514350"/>
              <a:ext cx="1828800" cy="10858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38.572096990742" createdVersion="8" refreshedVersion="8" minRefreshableVersion="3" recordCount="536" xr:uid="{193BC430-B5AF-4CBF-A397-EA3A4DBA7CE4}">
  <cacheSource type="worksheet">
    <worksheetSource name="Table1"/>
  </cacheSource>
  <cacheFields count="28">
    <cacheField name="Ticket Number" numFmtId="0">
      <sharedItems containsSemiMixedTypes="0" containsString="0" containsNumber="1" containsInteger="1" minValue="111100" maxValue="135991"/>
    </cacheField>
    <cacheField name="Date Created" numFmtId="164">
      <sharedItems containsSemiMixedTypes="0" containsNonDate="0" containsDate="1" containsString="0" minDate="2018-10-08T00:32:00" maxDate="2021-04-08T08:40:00"/>
    </cacheField>
    <cacheField name="Subject" numFmtId="0">
      <sharedItems/>
    </cacheField>
    <cacheField name="From" numFmtId="0">
      <sharedItems/>
    </cacheField>
    <cacheField name="From Email" numFmtId="0">
      <sharedItems/>
    </cacheField>
    <cacheField name="Priority" numFmtId="0">
      <sharedItems count="4">
        <s v="Emergency"/>
        <s v="High"/>
        <s v="Normal"/>
        <s v="Low"/>
      </sharedItems>
    </cacheField>
    <cacheField name="Department" numFmtId="0">
      <sharedItems count="2">
        <s v="SAP JDE Support Department"/>
        <s v="InterN/Al Technical Department"/>
      </sharedItems>
    </cacheField>
    <cacheField name="Type" numFmtId="0">
      <sharedItems count="2">
        <s v="Incident / Problem"/>
        <s v="Request"/>
      </sharedItems>
    </cacheField>
    <cacheField name="Source" numFmtId="0">
      <sharedItems count="4">
        <s v="Web"/>
        <s v="Email"/>
        <s v="Phone"/>
        <s v="Other"/>
      </sharedItems>
    </cacheField>
    <cacheField name="Current Status" numFmtId="0">
      <sharedItems count="3">
        <s v="Closed"/>
        <s v="Resolved"/>
        <s v="Open"/>
      </sharedItems>
    </cacheField>
    <cacheField name="Last Updated" numFmtId="164">
      <sharedItems containsSemiMixedTypes="0" containsNonDate="0" containsDate="1" containsString="0" minDate="2018-12-06T01:09:00" maxDate="2021-04-12T09:15:00"/>
    </cacheField>
    <cacheField name="Due Date" numFmtId="164">
      <sharedItems containsNonDate="0" containsDate="1" containsMixedTypes="1" minDate="2018-12-07T01:07:00" maxDate="2023-10-07T20:40:00"/>
    </cacheField>
    <cacheField name="Overdue" numFmtId="0">
      <sharedItems containsSemiMixedTypes="0" containsString="0" containsNumber="1" containsInteger="1" minValue="0" maxValue="1" count="2">
        <n v="0"/>
        <n v="1"/>
      </sharedItems>
    </cacheField>
    <cacheField name="Answered" numFmtId="0">
      <sharedItems containsSemiMixedTypes="0" containsString="0" containsNumber="1" containsInteger="1" minValue="0" maxValue="1" count="2">
        <n v="1"/>
        <n v="0"/>
      </sharedItems>
    </cacheField>
    <cacheField name="Agent Assigned" numFmtId="0">
      <sharedItems count="6">
        <s v="Jared Smith"/>
        <s v="Mark Jikkins"/>
        <s v="Stellar Murad"/>
        <s v="Raya Musk"/>
        <s v="Jose Satary"/>
        <s v="Satya Prakash"/>
      </sharedItems>
    </cacheField>
    <cacheField name="Team Lead" numFmtId="0">
      <sharedItems/>
    </cacheField>
    <cacheField name="Team Assigned" numFmtId="0">
      <sharedItems count="9">
        <s v="SAP Support Team"/>
        <s v="JDE Support Team"/>
        <s v="Network Team"/>
        <s v="AWS Team"/>
        <s v="Help Desk Team"/>
        <s v="Hardware Team"/>
        <s v="BPM - ProcessMaker Support Team"/>
        <s v="Salesforce Team"/>
        <s v="Workday Team"/>
      </sharedItems>
    </cacheField>
    <cacheField name="Thread Count" numFmtId="0">
      <sharedItems containsSemiMixedTypes="0" containsString="0" containsNumber="1" containsInteger="1" minValue="1" maxValue="179"/>
    </cacheField>
    <cacheField name="Attachment Count" numFmtId="0">
      <sharedItems containsSemiMixedTypes="0" containsString="0" containsNumber="1" containsInteger="1" minValue="0" maxValue="43"/>
    </cacheField>
    <cacheField name="Category" numFmtId="0">
      <sharedItems/>
    </cacheField>
    <cacheField name="Issue Origin" numFmtId="0">
      <sharedItems/>
    </cacheField>
    <cacheField name="Select Ticket Status Update" numFmtId="0">
      <sharedItems/>
    </cacheField>
    <cacheField name="SLA Due Date" numFmtId="164">
      <sharedItems containsNonDate="0" containsDate="1" containsMixedTypes="1" minDate="2019-01-22T00:00:00" maxDate="2021-04-16T00:00:00"/>
    </cacheField>
    <cacheField name="Breached SLA" numFmtId="0">
      <sharedItems count="3">
        <s v="Yes"/>
        <s v="N/A"/>
        <s v="No"/>
      </sharedItems>
    </cacheField>
    <cacheField name="SR No." numFmtId="0">
      <sharedItems containsNonDate="0" containsString="0" containsBlank="1"/>
    </cacheField>
    <cacheField name="Corrective Actions" numFmtId="0">
      <sharedItems containsNonDate="0" containsString="0" containsBlank="1"/>
    </cacheField>
    <cacheField name="Preventive Actions" numFmtId="0">
      <sharedItems containsNonDate="0" containsString="0" containsBlank="1"/>
    </cacheField>
    <cacheField name="Closed By" numFmtId="0">
      <sharedItems containsNonDate="0" containsString="0" containsBlank="1"/>
    </cacheField>
  </cacheFields>
  <extLst>
    <ext xmlns:x14="http://schemas.microsoft.com/office/spreadsheetml/2009/9/main" uri="{725AE2AE-9491-48be-B2B4-4EB974FC3084}">
      <x14:pivotCacheDefinition pivotCacheId="39488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6">
  <r>
    <n v="111636"/>
    <d v="2021-03-12T09:57:00"/>
    <s v="Error Displaying In Different Module"/>
    <s v="Jasper John"/>
    <s v="jasper.john@gmail.com"/>
    <x v="0"/>
    <x v="0"/>
    <x v="0"/>
    <x v="0"/>
    <x v="0"/>
    <d v="2021-03-24T17:19:00"/>
    <d v="2021-03-12T13:57:00"/>
    <x v="0"/>
    <x v="0"/>
    <x v="0"/>
    <s v="N/A"/>
    <x v="0"/>
    <n v="16"/>
    <n v="2"/>
    <s v="PROD"/>
    <s v="PRODUCTION"/>
    <s v="New Ticket"/>
    <d v="2021-03-12T13:57:00"/>
    <x v="0"/>
    <m/>
    <m/>
    <m/>
    <m/>
  </r>
  <r>
    <n v="111632"/>
    <d v="2021-03-10T16:21:00"/>
    <s v="Approval Workflow Error"/>
    <s v="Erick White"/>
    <s v="ewhite@yahoo.com"/>
    <x v="0"/>
    <x v="0"/>
    <x v="0"/>
    <x v="0"/>
    <x v="1"/>
    <d v="2021-03-18T17:16:00"/>
    <d v="2021-03-15T16:21:00"/>
    <x v="1"/>
    <x v="0"/>
    <x v="1"/>
    <s v="N/A"/>
    <x v="1"/>
    <n v="28"/>
    <n v="6"/>
    <s v="PROD"/>
    <s v="PRODUCTION"/>
    <s v="New Ticket"/>
    <d v="2021-03-10T20:21:00"/>
    <x v="0"/>
    <m/>
    <m/>
    <m/>
    <m/>
  </r>
  <r>
    <n v="111621"/>
    <d v="2021-02-22T12:08:00"/>
    <s v="Public Ip Trusted Certificate Authority Error"/>
    <s v="Tomi Yamamoto"/>
    <s v="tyamamoto@gmail.com"/>
    <x v="0"/>
    <x v="1"/>
    <x v="0"/>
    <x v="0"/>
    <x v="0"/>
    <d v="2021-03-05T14:40:00"/>
    <d v="2021-02-23T00:08:00"/>
    <x v="0"/>
    <x v="0"/>
    <x v="0"/>
    <s v="N/A"/>
    <x v="2"/>
    <n v="5"/>
    <n v="1"/>
    <s v="PROD"/>
    <s v="PRODUCTION"/>
    <s v="New Ticket"/>
    <d v="2021-02-22T16:08:00"/>
    <x v="0"/>
    <m/>
    <m/>
    <m/>
    <m/>
  </r>
  <r>
    <n v="111608"/>
    <d v="2021-02-15T11:41:00"/>
    <s v="Jde Slowdown"/>
    <s v="Riza Richardson"/>
    <s v="rrichardson@mailiN/Ator.com"/>
    <x v="0"/>
    <x v="0"/>
    <x v="0"/>
    <x v="0"/>
    <x v="0"/>
    <d v="2021-02-24T17:40:00"/>
    <d v="2021-02-15T23:41:00"/>
    <x v="0"/>
    <x v="0"/>
    <x v="0"/>
    <s v="N/A"/>
    <x v="1"/>
    <n v="12"/>
    <n v="1"/>
    <s v="PROD"/>
    <s v="PRODUCTION"/>
    <s v="Close Ticket"/>
    <d v="2021-02-15T15:41:00"/>
    <x v="0"/>
    <m/>
    <m/>
    <m/>
    <m/>
  </r>
  <r>
    <n v="111596"/>
    <d v="2021-01-22T10:58:00"/>
    <s v="Jde Slow Down"/>
    <s v="Riza Richardson"/>
    <s v="rrichardson@mailiN/Ator.com"/>
    <x v="0"/>
    <x v="0"/>
    <x v="0"/>
    <x v="0"/>
    <x v="0"/>
    <d v="2021-01-29T17:19:00"/>
    <d v="2021-01-22T22:58:00"/>
    <x v="0"/>
    <x v="0"/>
    <x v="0"/>
    <s v="N/A"/>
    <x v="1"/>
    <n v="7"/>
    <n v="1"/>
    <s v="PROD"/>
    <s v="PRODUCTION"/>
    <s v="Close Ticket"/>
    <d v="2021-01-22T14:58:00"/>
    <x v="0"/>
    <m/>
    <m/>
    <m/>
    <m/>
  </r>
  <r>
    <n v="111491"/>
    <d v="2020-08-20T09:36:00"/>
    <s v="Error 504 Gateway Timeout Again"/>
    <s v="Aurora Miller"/>
    <s v="aurora.miller@outlook.com"/>
    <x v="0"/>
    <x v="0"/>
    <x v="0"/>
    <x v="0"/>
    <x v="0"/>
    <d v="2021-01-15T16:37:00"/>
    <d v="2020-08-20T21:36:00"/>
    <x v="0"/>
    <x v="0"/>
    <x v="0"/>
    <s v="N/A"/>
    <x v="0"/>
    <n v="11"/>
    <n v="1"/>
    <s v="PROD"/>
    <s v="PRODUCTION"/>
    <s v="Close Ticket"/>
    <d v="2020-08-20T13:36:00"/>
    <x v="0"/>
    <m/>
    <m/>
    <m/>
    <m/>
  </r>
  <r>
    <n v="111571"/>
    <d v="2020-12-10T09:35:00"/>
    <s v="Login Issue"/>
    <s v="Aurora Miller"/>
    <s v="aurora.miller@outlook.com"/>
    <x v="0"/>
    <x v="0"/>
    <x v="0"/>
    <x v="0"/>
    <x v="0"/>
    <d v="2021-01-04T17:49:00"/>
    <d v="2020-12-10T21:35:00"/>
    <x v="0"/>
    <x v="0"/>
    <x v="0"/>
    <s v="N/A"/>
    <x v="0"/>
    <n v="5"/>
    <n v="4"/>
    <s v="PROD"/>
    <s v="PRODUCTION"/>
    <s v="Open"/>
    <d v="2020-12-10T13:35:00"/>
    <x v="0"/>
    <m/>
    <m/>
    <m/>
    <m/>
  </r>
  <r>
    <n v="111575"/>
    <d v="2020-12-10T09:59:00"/>
    <s v="&quot;Bea.Jolt&quot; Login Error"/>
    <s v="Aurora Miller"/>
    <s v="aurora.miller@outlook.com"/>
    <x v="0"/>
    <x v="0"/>
    <x v="0"/>
    <x v="0"/>
    <x v="0"/>
    <d v="2021-01-04T17:45:00"/>
    <d v="2020-12-10T21:59:00"/>
    <x v="0"/>
    <x v="0"/>
    <x v="0"/>
    <s v="N/A"/>
    <x v="0"/>
    <n v="5"/>
    <n v="1"/>
    <s v="PROD"/>
    <s v="PRODUCTION"/>
    <s v="Open"/>
    <d v="2020-12-10T13:59:00"/>
    <x v="0"/>
    <m/>
    <m/>
    <m/>
    <m/>
  </r>
  <r>
    <n v="111576"/>
    <d v="2020-12-10T10:04:00"/>
    <s v="Slow Performance"/>
    <s v="Aurora Miller"/>
    <s v="aurora.miller@outlook.com"/>
    <x v="0"/>
    <x v="0"/>
    <x v="0"/>
    <x v="0"/>
    <x v="0"/>
    <d v="2021-01-04T17:44:00"/>
    <d v="2020-12-10T22:04:00"/>
    <x v="0"/>
    <x v="0"/>
    <x v="0"/>
    <s v="N/A"/>
    <x v="0"/>
    <n v="5"/>
    <n v="1"/>
    <s v="PROD"/>
    <s v="PRODUCTION"/>
    <s v="Open"/>
    <d v="2020-12-10T14:04:00"/>
    <x v="0"/>
    <m/>
    <m/>
    <m/>
    <m/>
  </r>
  <r>
    <n v="111581"/>
    <d v="2020-12-18T10:17:00"/>
    <s v="Hr Technical AN/Alyzer In Test"/>
    <s v="Kian Rogers"/>
    <s v="krogers@mailiN/Ator.com"/>
    <x v="0"/>
    <x v="0"/>
    <x v="1"/>
    <x v="0"/>
    <x v="0"/>
    <d v="2021-01-04T12:02:00"/>
    <d v="2020-12-18T22:17:00"/>
    <x v="0"/>
    <x v="0"/>
    <x v="0"/>
    <s v="N/A"/>
    <x v="1"/>
    <n v="9"/>
    <n v="2"/>
    <s v="NON-PROD"/>
    <s v="TEST"/>
    <s v="Close Ticket"/>
    <s v="No SLA for Request"/>
    <x v="1"/>
    <m/>
    <m/>
    <m/>
    <m/>
  </r>
  <r>
    <n v="111586"/>
    <d v="2020-12-23T15:17:00"/>
    <s v="Open Vpn Authenticator App Setup"/>
    <s v="Kenex Willows"/>
    <s v="kwillows@yahoo.com"/>
    <x v="0"/>
    <x v="0"/>
    <x v="1"/>
    <x v="0"/>
    <x v="0"/>
    <d v="2020-12-28T17:37:00"/>
    <d v="2020-12-24T03:17:00"/>
    <x v="0"/>
    <x v="0"/>
    <x v="0"/>
    <s v="N/A"/>
    <x v="1"/>
    <n v="7"/>
    <n v="0"/>
    <s v="PROD"/>
    <s v="PRODUCTION"/>
    <s v="Close Ticket"/>
    <s v="No SLA for Request"/>
    <x v="1"/>
    <m/>
    <m/>
    <m/>
    <m/>
  </r>
  <r>
    <n v="111564"/>
    <d v="2020-11-25T15:51:00"/>
    <s v="Login Issue"/>
    <s v="Aurora Miller"/>
    <s v="aurora.miller@outlook.com"/>
    <x v="0"/>
    <x v="0"/>
    <x v="0"/>
    <x v="0"/>
    <x v="0"/>
    <d v="2020-12-10T17:15:00"/>
    <d v="2020-11-26T03:51:00"/>
    <x v="0"/>
    <x v="0"/>
    <x v="2"/>
    <s v="N/A"/>
    <x v="0"/>
    <n v="5"/>
    <n v="1"/>
    <s v="PROD"/>
    <s v="PRODUCTION"/>
    <s v="New Ticket"/>
    <d v="2020-11-25T19:51:00"/>
    <x v="0"/>
    <m/>
    <m/>
    <m/>
    <m/>
  </r>
  <r>
    <n v="111550"/>
    <d v="2020-11-10T10:49:00"/>
    <s v="Can'T Access Prod Instance"/>
    <s v="Riza Richardson"/>
    <s v="rrichardson@mailiN/Ator.com"/>
    <x v="0"/>
    <x v="0"/>
    <x v="0"/>
    <x v="0"/>
    <x v="0"/>
    <d v="2020-11-16T14:59:00"/>
    <d v="2020-11-10T22:49:00"/>
    <x v="0"/>
    <x v="0"/>
    <x v="0"/>
    <s v="N/A"/>
    <x v="1"/>
    <n v="8"/>
    <n v="1"/>
    <s v="PROD"/>
    <s v="PRODUCTION"/>
    <s v="Close Ticket"/>
    <d v="2020-11-10T14:49:00"/>
    <x v="0"/>
    <m/>
    <m/>
    <m/>
    <m/>
  </r>
  <r>
    <n v="111530"/>
    <d v="2020-10-08T17:29:00"/>
    <s v="Absence Duration"/>
    <s v="Kian Rogers"/>
    <s v="krogers@mailiN/Ator.com"/>
    <x v="0"/>
    <x v="0"/>
    <x v="1"/>
    <x v="0"/>
    <x v="0"/>
    <d v="2020-10-16T13:55:00"/>
    <d v="2020-10-09T05:29:00"/>
    <x v="0"/>
    <x v="0"/>
    <x v="0"/>
    <s v="N/A"/>
    <x v="1"/>
    <n v="13"/>
    <n v="1"/>
    <s v="NON-PROD"/>
    <s v="TEST"/>
    <s v="Close Ticket"/>
    <s v="No SLA for Request"/>
    <x v="1"/>
    <m/>
    <m/>
    <m/>
    <m/>
  </r>
  <r>
    <n v="111511"/>
    <d v="2020-09-28T14:53:00"/>
    <s v="Requesting A Server For Deployment"/>
    <s v="Jane Wilberts"/>
    <s v="jwilberts@mailiN/Ator.com"/>
    <x v="0"/>
    <x v="1"/>
    <x v="1"/>
    <x v="1"/>
    <x v="0"/>
    <d v="2020-10-07T13:57:00"/>
    <d v="2020-09-28T18:53:00"/>
    <x v="0"/>
    <x v="0"/>
    <x v="0"/>
    <s v="N/A"/>
    <x v="2"/>
    <n v="5"/>
    <n v="0"/>
    <s v="PROD"/>
    <s v="DEVELOPMENT"/>
    <s v="New Ticket"/>
    <s v="No SLA for Request"/>
    <x v="1"/>
    <m/>
    <m/>
    <m/>
    <m/>
  </r>
  <r>
    <n v="111493"/>
    <d v="2020-08-23T11:39:00"/>
    <s v="Port Issue After Patching Activity"/>
    <s v="Kenex Willows"/>
    <s v="kwillows@yahoo.com"/>
    <x v="0"/>
    <x v="0"/>
    <x v="0"/>
    <x v="0"/>
    <x v="0"/>
    <d v="2020-08-28T17:08:00"/>
    <d v="2020-08-23T23:39:00"/>
    <x v="0"/>
    <x v="0"/>
    <x v="0"/>
    <s v="N/A"/>
    <x v="1"/>
    <n v="12"/>
    <n v="3"/>
    <s v="PROD"/>
    <s v="PRODUCTION"/>
    <s v="New Ticket"/>
    <d v="2020-08-23T15:39:00"/>
    <x v="0"/>
    <m/>
    <m/>
    <m/>
    <m/>
  </r>
  <r>
    <n v="111487"/>
    <d v="2020-08-15T12:41:00"/>
    <s v="Error 504 Gateway Timeout"/>
    <s v="Marvin Peters"/>
    <s v="mpeters@outlook.com"/>
    <x v="0"/>
    <x v="0"/>
    <x v="0"/>
    <x v="0"/>
    <x v="0"/>
    <d v="2020-08-24T18:15:00"/>
    <d v="2020-08-16T00:41:00"/>
    <x v="0"/>
    <x v="0"/>
    <x v="0"/>
    <s v="N/A"/>
    <x v="0"/>
    <n v="8"/>
    <n v="1"/>
    <s v="PROD"/>
    <s v="PRODUCTION"/>
    <s v="New Ticket"/>
    <d v="2020-08-15T16:41:00"/>
    <x v="0"/>
    <m/>
    <m/>
    <m/>
    <m/>
  </r>
  <r>
    <n v="111479"/>
    <d v="2020-08-07T13:44:00"/>
    <s v="Error For Winscp Application"/>
    <s v="Tomi Yamamoto"/>
    <s v="tyamamoto@gmail.com"/>
    <x v="0"/>
    <x v="1"/>
    <x v="0"/>
    <x v="0"/>
    <x v="0"/>
    <d v="2020-08-18T17:09:00"/>
    <d v="2020-08-08T01:44:00"/>
    <x v="0"/>
    <x v="0"/>
    <x v="0"/>
    <s v="N/A"/>
    <x v="2"/>
    <n v="4"/>
    <n v="1"/>
    <s v="PROD"/>
    <s v="DEVELOPMENT"/>
    <s v="New Ticket"/>
    <d v="2020-08-07T17:44:00"/>
    <x v="0"/>
    <m/>
    <m/>
    <m/>
    <m/>
  </r>
  <r>
    <n v="111451"/>
    <d v="2020-07-01T09:12:00"/>
    <s v="Laptop Repair"/>
    <s v="Monique Smiths"/>
    <s v="msmiths@yahoo.com"/>
    <x v="0"/>
    <x v="1"/>
    <x v="0"/>
    <x v="2"/>
    <x v="0"/>
    <d v="2020-07-09T15:16:00"/>
    <d v="2020-07-02T17:00:00"/>
    <x v="0"/>
    <x v="0"/>
    <x v="0"/>
    <s v="N/A"/>
    <x v="2"/>
    <n v="4"/>
    <n v="0"/>
    <s v="NON-PROD"/>
    <s v="DEVELOPMENT"/>
    <s v="New Ticket"/>
    <d v="2020-07-01T13:12:00"/>
    <x v="0"/>
    <m/>
    <m/>
    <m/>
    <m/>
  </r>
  <r>
    <n v="111430"/>
    <d v="2020-06-02T10:26:00"/>
    <s v="Sap Not Accessible"/>
    <s v="Aurora Miller"/>
    <s v="aurora.miller@outlook.com"/>
    <x v="0"/>
    <x v="0"/>
    <x v="0"/>
    <x v="0"/>
    <x v="0"/>
    <d v="2020-06-16T17:47:00"/>
    <s v="N/A"/>
    <x v="0"/>
    <x v="0"/>
    <x v="0"/>
    <s v="N/A"/>
    <x v="0"/>
    <n v="11"/>
    <n v="2"/>
    <s v="PROD"/>
    <s v="PRODUCTION"/>
    <s v="Close Ticket"/>
    <d v="2020-06-02T14:26:00"/>
    <x v="0"/>
    <m/>
    <m/>
    <m/>
    <m/>
  </r>
  <r>
    <n v="111424"/>
    <d v="2020-05-27T09:26:00"/>
    <s v="Sap Production Is Down"/>
    <s v="Aurora Miller"/>
    <s v="aurora.miller@outlook.com"/>
    <x v="0"/>
    <x v="0"/>
    <x v="0"/>
    <x v="0"/>
    <x v="0"/>
    <d v="2020-06-10T17:25:00"/>
    <s v="N/A"/>
    <x v="0"/>
    <x v="0"/>
    <x v="0"/>
    <s v="N/A"/>
    <x v="0"/>
    <n v="12"/>
    <n v="20"/>
    <s v="PROD"/>
    <s v="PRODUCTION"/>
    <s v="New Ticket"/>
    <d v="2020-05-27T13:26:00"/>
    <x v="0"/>
    <m/>
    <m/>
    <m/>
    <m/>
  </r>
  <r>
    <n v="111416"/>
    <d v="2020-04-27T09:24:00"/>
    <s v="System Downtime"/>
    <s v="Aurora Miller"/>
    <s v="aurora.miller@outlook.com"/>
    <x v="0"/>
    <x v="0"/>
    <x v="0"/>
    <x v="0"/>
    <x v="0"/>
    <d v="2020-05-04T17:12:00"/>
    <s v="N/A"/>
    <x v="0"/>
    <x v="0"/>
    <x v="0"/>
    <s v="N/A"/>
    <x v="0"/>
    <n v="5"/>
    <n v="2"/>
    <s v="PROD"/>
    <s v="PRODUCTION"/>
    <s v="New Ticket"/>
    <d v="2020-04-27T13:24:00"/>
    <x v="0"/>
    <m/>
    <m/>
    <m/>
    <m/>
  </r>
  <r>
    <n v="111403"/>
    <d v="2020-03-23T09:36:00"/>
    <s v="Prod: IN/Active Phase / Status: No MaN/Ager"/>
    <s v="Melody Thompson"/>
    <s v="mthompson@yahoo.com"/>
    <x v="0"/>
    <x v="0"/>
    <x v="0"/>
    <x v="0"/>
    <x v="0"/>
    <d v="2020-03-26T18:40:00"/>
    <s v="N/A"/>
    <x v="0"/>
    <x v="0"/>
    <x v="0"/>
    <s v="N/A"/>
    <x v="1"/>
    <n v="7"/>
    <n v="2"/>
    <s v="PROD"/>
    <s v="DEVELOPMENT"/>
    <s v="New Ticket"/>
    <d v="2020-03-23T13:36:00"/>
    <x v="0"/>
    <m/>
    <m/>
    <m/>
    <m/>
  </r>
  <r>
    <n v="111387"/>
    <d v="2020-02-13T09:13:00"/>
    <s v="Prod: Slowdown Of Jde In Production Instance"/>
    <s v="Melody Thompson"/>
    <s v="mthompson@yahoo.com"/>
    <x v="0"/>
    <x v="0"/>
    <x v="0"/>
    <x v="0"/>
    <x v="0"/>
    <d v="2020-02-18T14:03:00"/>
    <s v="N/A"/>
    <x v="0"/>
    <x v="0"/>
    <x v="0"/>
    <s v="N/A"/>
    <x v="1"/>
    <n v="10"/>
    <n v="7"/>
    <s v="PROD"/>
    <s v="DEVELOPMENT"/>
    <s v="New Ticket"/>
    <d v="2020-02-13T13:13:00"/>
    <x v="0"/>
    <m/>
    <m/>
    <m/>
    <m/>
  </r>
  <r>
    <n v="111384"/>
    <d v="2020-02-10T11:11:00"/>
    <s v="Sql Access MaN/Ager Sql Error"/>
    <s v="Aurora Miller"/>
    <s v="aurora.miller@outlook.com"/>
    <x v="0"/>
    <x v="0"/>
    <x v="0"/>
    <x v="0"/>
    <x v="0"/>
    <d v="2020-02-11T15:44:00"/>
    <s v="N/A"/>
    <x v="0"/>
    <x v="0"/>
    <x v="0"/>
    <s v="N/A"/>
    <x v="3"/>
    <n v="5"/>
    <n v="2"/>
    <s v="PROD"/>
    <s v="PRODUCTION"/>
    <s v="Close Ticket"/>
    <d v="2020-02-10T15:11:00"/>
    <x v="0"/>
    <m/>
    <m/>
    <m/>
    <m/>
  </r>
  <r>
    <n v="111366"/>
    <d v="2020-01-03T14:02:00"/>
    <s v="Error On Finish Enrolling"/>
    <s v="Marvin Peters"/>
    <s v="mpeters@outlook.com"/>
    <x v="0"/>
    <x v="0"/>
    <x v="0"/>
    <x v="0"/>
    <x v="0"/>
    <d v="2020-01-14T17:35:00"/>
    <s v="N/A"/>
    <x v="0"/>
    <x v="0"/>
    <x v="0"/>
    <s v="N/A"/>
    <x v="0"/>
    <n v="10"/>
    <n v="2"/>
    <s v="PROD"/>
    <s v="DEVELOPMENT"/>
    <s v="New Ticket"/>
    <d v="2020-01-03T18:02:00"/>
    <x v="0"/>
    <m/>
    <m/>
    <m/>
    <m/>
  </r>
  <r>
    <n v="111364"/>
    <d v="2020-01-03T10:57:00"/>
    <s v="Slow Loading In Sap"/>
    <s v="Jasper John"/>
    <s v="jasper.john@gmail.com"/>
    <x v="0"/>
    <x v="0"/>
    <x v="0"/>
    <x v="0"/>
    <x v="0"/>
    <d v="2020-01-10T17:59:00"/>
    <s v="N/A"/>
    <x v="0"/>
    <x v="0"/>
    <x v="0"/>
    <s v="N/A"/>
    <x v="0"/>
    <n v="11"/>
    <n v="4"/>
    <s v="PROD"/>
    <s v="DEVELOPMENT"/>
    <s v="New Ticket"/>
    <d v="2020-01-03T14:57:00"/>
    <x v="0"/>
    <m/>
    <m/>
    <m/>
    <m/>
  </r>
  <r>
    <n v="111357"/>
    <d v="2019-12-10T15:00:00"/>
    <s v="Request For Reconfigure Of Palo Alto"/>
    <s v="Tomi Yamamoto"/>
    <s v="tyamamoto@gmail.com"/>
    <x v="0"/>
    <x v="1"/>
    <x v="1"/>
    <x v="0"/>
    <x v="0"/>
    <d v="2019-12-18T16:37:00"/>
    <d v="2019-12-11T03:00:00"/>
    <x v="0"/>
    <x v="0"/>
    <x v="2"/>
    <s v="N/A"/>
    <x v="2"/>
    <n v="4"/>
    <n v="0"/>
    <s v="N/A"/>
    <s v="N/A"/>
    <s v="New Ticket"/>
    <s v="No SLA for Request"/>
    <x v="1"/>
    <m/>
    <m/>
    <m/>
    <m/>
  </r>
  <r>
    <n v="111347"/>
    <d v="2019-11-22T16:35:00"/>
    <s v="Sap Production Downtime Issue"/>
    <s v="John Brown"/>
    <s v="jbrown@outlook.com"/>
    <x v="0"/>
    <x v="0"/>
    <x v="0"/>
    <x v="0"/>
    <x v="0"/>
    <d v="2019-12-12T11:19:00"/>
    <d v="2019-11-23T04:35:00"/>
    <x v="0"/>
    <x v="0"/>
    <x v="0"/>
    <s v="N/A"/>
    <x v="0"/>
    <n v="6"/>
    <n v="1"/>
    <s v="N/A"/>
    <s v="N/A"/>
    <s v="New Ticket"/>
    <d v="2019-11-22T20:35:00"/>
    <x v="0"/>
    <m/>
    <m/>
    <m/>
    <m/>
  </r>
  <r>
    <n v="111331"/>
    <d v="2019-10-23T17:03:00"/>
    <s v="Delete Or Rollback A Payroll Run"/>
    <s v="Melody Thompson"/>
    <s v="mthompson@yahoo.com"/>
    <x v="0"/>
    <x v="0"/>
    <x v="0"/>
    <x v="0"/>
    <x v="0"/>
    <d v="2019-11-04T15:49:00"/>
    <d v="2019-10-25T17:00:00"/>
    <x v="0"/>
    <x v="0"/>
    <x v="0"/>
    <s v="N/A"/>
    <x v="1"/>
    <n v="30"/>
    <n v="26"/>
    <s v="N/A"/>
    <s v="N/A"/>
    <s v="New Ticket"/>
    <d v="2019-10-23T21:03:00"/>
    <x v="0"/>
    <m/>
    <m/>
    <m/>
    <m/>
  </r>
  <r>
    <n v="111246"/>
    <d v="2019-07-01T14:06:00"/>
    <s v="Batch Process Of Student Groups Not Working."/>
    <s v="Jasper John"/>
    <s v="jasper.john@gmail.com"/>
    <x v="0"/>
    <x v="0"/>
    <x v="0"/>
    <x v="0"/>
    <x v="0"/>
    <d v="2019-10-22T18:12:00"/>
    <d v="2019-07-02T02:06:00"/>
    <x v="0"/>
    <x v="0"/>
    <x v="0"/>
    <s v="N/A"/>
    <x v="0"/>
    <n v="14"/>
    <n v="3"/>
    <s v="N/A"/>
    <s v="N/A"/>
    <s v="Close Ticket"/>
    <d v="2019-07-01T18:06:00"/>
    <x v="0"/>
    <m/>
    <m/>
    <m/>
    <m/>
  </r>
  <r>
    <n v="111265"/>
    <d v="2019-07-18T14:02:00"/>
    <s v="Bpm Staging Error"/>
    <s v="Atom Short"/>
    <s v="atom.short@gmail.com"/>
    <x v="0"/>
    <x v="1"/>
    <x v="0"/>
    <x v="0"/>
    <x v="0"/>
    <d v="2019-10-01T10:44:00"/>
    <d v="2019-07-19T02:02:00"/>
    <x v="0"/>
    <x v="0"/>
    <x v="2"/>
    <s v="N/A"/>
    <x v="4"/>
    <n v="7"/>
    <n v="0"/>
    <s v="N/A"/>
    <s v="N/A"/>
    <s v="New Ticket"/>
    <d v="2019-07-18T18:02:00"/>
    <x v="0"/>
    <m/>
    <m/>
    <m/>
    <m/>
  </r>
  <r>
    <n v="111306"/>
    <d v="2019-09-21T10:41:00"/>
    <s v="Palo Alto Device No Lights On Lan Ports"/>
    <s v="Tomi Yamamoto"/>
    <s v="tyamamoto@gmail.com"/>
    <x v="0"/>
    <x v="1"/>
    <x v="0"/>
    <x v="0"/>
    <x v="0"/>
    <d v="2019-09-27T17:04:00"/>
    <d v="2019-09-21T22:41:00"/>
    <x v="0"/>
    <x v="0"/>
    <x v="2"/>
    <s v="N/A"/>
    <x v="2"/>
    <n v="11"/>
    <n v="2"/>
    <s v="N/A"/>
    <s v="N/A"/>
    <s v="New Ticket"/>
    <d v="2019-09-21T14:41:00"/>
    <x v="0"/>
    <m/>
    <m/>
    <m/>
    <m/>
  </r>
  <r>
    <n v="111147"/>
    <d v="2019-03-19T09:49:00"/>
    <s v="Cannot Login In Sap"/>
    <s v="Aurora Miller"/>
    <s v="aurora.miller@outlook.com"/>
    <x v="0"/>
    <x v="0"/>
    <x v="0"/>
    <x v="0"/>
    <x v="0"/>
    <d v="2019-09-11T17:26:00"/>
    <d v="2019-03-19T21:49:00"/>
    <x v="0"/>
    <x v="0"/>
    <x v="0"/>
    <s v="N/A"/>
    <x v="0"/>
    <n v="24"/>
    <n v="9"/>
    <s v="N/A"/>
    <s v="N/A"/>
    <s v="Close Ticket"/>
    <d v="2019-03-19T13:49:00"/>
    <x v="0"/>
    <m/>
    <m/>
    <m/>
    <m/>
  </r>
  <r>
    <n v="111254"/>
    <d v="2019-07-09T08:36:00"/>
    <s v="Sap Is Not Accessible"/>
    <s v="Jasper John"/>
    <s v="jasper.john@gmail.com"/>
    <x v="0"/>
    <x v="0"/>
    <x v="0"/>
    <x v="0"/>
    <x v="0"/>
    <d v="2019-09-11T17:23:00"/>
    <s v="N/A"/>
    <x v="0"/>
    <x v="0"/>
    <x v="0"/>
    <s v="N/A"/>
    <x v="0"/>
    <n v="21"/>
    <n v="6"/>
    <s v="N/A"/>
    <s v="N/A"/>
    <s v="Close Ticket"/>
    <d v="2019-07-09T12:36:00"/>
    <x v="0"/>
    <m/>
    <m/>
    <m/>
    <m/>
  </r>
  <r>
    <n v="111283"/>
    <d v="2019-08-08T07:17:00"/>
    <s v="Jde Prod Not Available"/>
    <s v="Julius Wright"/>
    <s v="jwirght@outlook.com"/>
    <x v="0"/>
    <x v="0"/>
    <x v="0"/>
    <x v="0"/>
    <x v="0"/>
    <d v="2019-08-28T11:09:00"/>
    <d v="2019-08-08T19:17:00"/>
    <x v="0"/>
    <x v="0"/>
    <x v="0"/>
    <s v="N/A"/>
    <x v="1"/>
    <n v="9"/>
    <n v="1"/>
    <s v="N/A"/>
    <s v="N/A"/>
    <s v="New Ticket"/>
    <d v="2019-08-08T11:17:00"/>
    <x v="0"/>
    <m/>
    <m/>
    <m/>
    <m/>
  </r>
  <r>
    <n v="111258"/>
    <d v="2019-07-11T08:07:00"/>
    <s v="Error 504"/>
    <s v="Marvin Peters"/>
    <s v="mpeters@outlook.com"/>
    <x v="0"/>
    <x v="0"/>
    <x v="0"/>
    <x v="0"/>
    <x v="0"/>
    <d v="2019-07-17T17:49:00"/>
    <d v="2019-07-11T20:07:00"/>
    <x v="0"/>
    <x v="0"/>
    <x v="0"/>
    <s v="N/A"/>
    <x v="0"/>
    <n v="10"/>
    <n v="5"/>
    <s v="N/A"/>
    <s v="N/A"/>
    <s v="Close Ticket"/>
    <d v="2019-07-11T12:07:00"/>
    <x v="0"/>
    <m/>
    <m/>
    <m/>
    <m/>
  </r>
  <r>
    <n v="111222"/>
    <d v="2019-06-04T09:33:00"/>
    <s v="Create Specific Function In The Responsibility"/>
    <s v="Wilson Campus"/>
    <s v="wilson.campus@yahoo.com"/>
    <x v="0"/>
    <x v="0"/>
    <x v="0"/>
    <x v="0"/>
    <x v="0"/>
    <d v="2019-06-14T14:08:00"/>
    <d v="2019-06-07T17:00:00"/>
    <x v="0"/>
    <x v="0"/>
    <x v="0"/>
    <s v="N/A"/>
    <x v="1"/>
    <n v="25"/>
    <n v="8"/>
    <s v="N/A"/>
    <s v="N/A"/>
    <s v="New Ticket"/>
    <d v="2019-06-04T13:33:00"/>
    <x v="0"/>
    <m/>
    <m/>
    <m/>
    <m/>
  </r>
  <r>
    <n v="111210"/>
    <d v="2019-05-27T10:47:00"/>
    <s v="Error Loading Position List In Authority To Travel"/>
    <s v="Paul Jiggins"/>
    <s v="pjiggins@yahoo.com"/>
    <x v="0"/>
    <x v="0"/>
    <x v="0"/>
    <x v="0"/>
    <x v="0"/>
    <d v="2019-06-14T13:54:00"/>
    <d v="2019-06-10T17:00:00"/>
    <x v="0"/>
    <x v="0"/>
    <x v="0"/>
    <s v="N/A"/>
    <x v="1"/>
    <n v="9"/>
    <n v="5"/>
    <s v="N/A"/>
    <s v="N/A"/>
    <s v="New Ticket"/>
    <d v="2019-05-27T14:47:00"/>
    <x v="0"/>
    <m/>
    <m/>
    <m/>
    <m/>
  </r>
  <r>
    <n v="111168"/>
    <d v="2019-04-04T16:00:00"/>
    <s v="Jde Prod Slowdown"/>
    <s v="Julius Wright"/>
    <s v="jwirght@outlook.com"/>
    <x v="0"/>
    <x v="0"/>
    <x v="0"/>
    <x v="0"/>
    <x v="0"/>
    <d v="2019-06-14T13:48:00"/>
    <d v="2019-04-05T04:00:00"/>
    <x v="0"/>
    <x v="0"/>
    <x v="0"/>
    <s v="N/A"/>
    <x v="1"/>
    <n v="25"/>
    <n v="5"/>
    <s v="N/A"/>
    <s v="N/A"/>
    <s v="Close Ticket"/>
    <d v="2019-04-04T20:00:00"/>
    <x v="0"/>
    <m/>
    <m/>
    <m/>
    <m/>
  </r>
  <r>
    <n v="111225"/>
    <d v="2019-06-06T08:37:00"/>
    <s v="UN/Able To Login In Prod Instance"/>
    <s v="John Brown"/>
    <s v="jbrown@outlook.com"/>
    <x v="0"/>
    <x v="0"/>
    <x v="0"/>
    <x v="0"/>
    <x v="0"/>
    <d v="2019-06-13T13:06:00"/>
    <d v="2019-06-06T20:37:00"/>
    <x v="0"/>
    <x v="0"/>
    <x v="0"/>
    <s v="N/A"/>
    <x v="0"/>
    <n v="11"/>
    <n v="1"/>
    <s v="N/A"/>
    <s v="N/A"/>
    <s v="Close Ticket"/>
    <d v="2019-06-06T12:37:00"/>
    <x v="0"/>
    <m/>
    <m/>
    <m/>
    <m/>
  </r>
  <r>
    <n v="111219"/>
    <d v="2019-05-31T11:35:00"/>
    <s v="Oracle Hrms - Element Entry Setup"/>
    <s v="Wilson Campus"/>
    <s v="wilson.campus@yahoo.com"/>
    <x v="0"/>
    <x v="0"/>
    <x v="1"/>
    <x v="0"/>
    <x v="0"/>
    <d v="2019-06-10T14:52:00"/>
    <d v="2019-06-10T17:00:00"/>
    <x v="0"/>
    <x v="0"/>
    <x v="0"/>
    <s v="N/A"/>
    <x v="1"/>
    <n v="14"/>
    <n v="6"/>
    <s v="N/A"/>
    <s v="N/A"/>
    <s v="New Ticket"/>
    <s v="No SLA for Request"/>
    <x v="1"/>
    <m/>
    <m/>
    <m/>
    <m/>
  </r>
  <r>
    <n v="111188"/>
    <d v="2019-04-29T15:18:00"/>
    <s v="Jde Prod - Error In Workflow Background Process"/>
    <s v="Julius Wright"/>
    <s v="jwirght@outlook.com"/>
    <x v="0"/>
    <x v="0"/>
    <x v="0"/>
    <x v="0"/>
    <x v="0"/>
    <d v="2019-06-04T17:19:00"/>
    <d v="2019-04-30T03:18:00"/>
    <x v="0"/>
    <x v="0"/>
    <x v="0"/>
    <s v="N/A"/>
    <x v="1"/>
    <n v="45"/>
    <n v="3"/>
    <s v="N/A"/>
    <s v="N/A"/>
    <s v="Close Ticket"/>
    <d v="2019-04-29T19:18:00"/>
    <x v="0"/>
    <m/>
    <m/>
    <m/>
    <m/>
  </r>
  <r>
    <n v="111184"/>
    <d v="2019-04-24T14:18:00"/>
    <s v="Jde Prod - Slowdown Access"/>
    <s v="Julius Wright"/>
    <s v="jwirght@outlook.com"/>
    <x v="0"/>
    <x v="0"/>
    <x v="0"/>
    <x v="0"/>
    <x v="0"/>
    <d v="2019-05-14T19:20:00"/>
    <d v="2019-04-25T02:18:00"/>
    <x v="0"/>
    <x v="0"/>
    <x v="0"/>
    <s v="N/A"/>
    <x v="1"/>
    <n v="14"/>
    <n v="1"/>
    <s v="N/A"/>
    <s v="N/A"/>
    <s v="New Ticket"/>
    <d v="2019-04-24T18:18:00"/>
    <x v="0"/>
    <m/>
    <m/>
    <m/>
    <m/>
  </r>
  <r>
    <n v="111171"/>
    <d v="2019-04-08T08:51:00"/>
    <s v="Jde Prod Error - Fail Web Server"/>
    <s v="Julius Wright"/>
    <s v="jwirght@outlook.com"/>
    <x v="0"/>
    <x v="0"/>
    <x v="0"/>
    <x v="0"/>
    <x v="0"/>
    <d v="2019-04-29T17:06:00"/>
    <d v="2019-04-08T20:51:00"/>
    <x v="0"/>
    <x v="0"/>
    <x v="0"/>
    <s v="N/A"/>
    <x v="1"/>
    <n v="15"/>
    <n v="1"/>
    <s v="N/A"/>
    <s v="N/A"/>
    <s v="New Ticket"/>
    <d v="2019-04-08T12:51:00"/>
    <x v="0"/>
    <m/>
    <m/>
    <m/>
    <m/>
  </r>
  <r>
    <n v="111181"/>
    <d v="2019-04-22T09:07:00"/>
    <s v="Jde Prod - Request Not Completing"/>
    <s v="Julius Wright"/>
    <s v="jwirght@outlook.com"/>
    <x v="0"/>
    <x v="0"/>
    <x v="0"/>
    <x v="0"/>
    <x v="0"/>
    <d v="2019-04-24T17:38:00"/>
    <d v="2019-04-22T21:07:00"/>
    <x v="0"/>
    <x v="0"/>
    <x v="0"/>
    <s v="N/A"/>
    <x v="1"/>
    <n v="18"/>
    <n v="5"/>
    <s v="N/A"/>
    <s v="N/A"/>
    <s v="New Ticket"/>
    <d v="2019-04-22T13:07:00"/>
    <x v="0"/>
    <m/>
    <m/>
    <m/>
    <m/>
  </r>
  <r>
    <n v="111178"/>
    <d v="2019-04-17T11:24:00"/>
    <s v="Jde Prod Slowdown"/>
    <s v="Julius Wright"/>
    <s v="jwirght@outlook.com"/>
    <x v="0"/>
    <x v="0"/>
    <x v="0"/>
    <x v="0"/>
    <x v="0"/>
    <d v="2019-04-24T17:37:00"/>
    <d v="2019-04-17T23:24:00"/>
    <x v="0"/>
    <x v="0"/>
    <x v="0"/>
    <s v="N/A"/>
    <x v="1"/>
    <n v="13"/>
    <n v="1"/>
    <s v="N/A"/>
    <s v="N/A"/>
    <s v="New Ticket"/>
    <d v="2019-04-17T15:24:00"/>
    <x v="0"/>
    <m/>
    <m/>
    <m/>
    <m/>
  </r>
  <r>
    <n v="111108"/>
    <d v="2019-02-01T01:55:00"/>
    <s v="Jde Slowdown"/>
    <s v="Julius Wright"/>
    <s v="jwirght@outlook.com"/>
    <x v="0"/>
    <x v="0"/>
    <x v="0"/>
    <x v="1"/>
    <x v="0"/>
    <d v="2019-04-01T15:15:00"/>
    <d v="2019-02-01T13:55:00"/>
    <x v="0"/>
    <x v="0"/>
    <x v="2"/>
    <s v="N/A"/>
    <x v="1"/>
    <n v="15"/>
    <n v="7"/>
    <s v="N/A"/>
    <s v="N/A"/>
    <s v="New Ticket"/>
    <d v="2019-02-01T05:55:00"/>
    <x v="0"/>
    <m/>
    <m/>
    <m/>
    <m/>
  </r>
  <r>
    <n v="111117"/>
    <d v="2019-02-01T13:56:00"/>
    <s v="Sql Error"/>
    <s v="Aurora Miller"/>
    <s v="aurora.miller@outlook.com"/>
    <x v="0"/>
    <x v="0"/>
    <x v="0"/>
    <x v="0"/>
    <x v="0"/>
    <d v="2019-02-20T14:34:00"/>
    <d v="2019-02-02T01:56:00"/>
    <x v="0"/>
    <x v="0"/>
    <x v="3"/>
    <s v="N/A"/>
    <x v="0"/>
    <n v="18"/>
    <n v="6"/>
    <s v="N/A"/>
    <s v="N/A"/>
    <s v="New Ticket"/>
    <d v="2019-02-01T17:56:00"/>
    <x v="0"/>
    <m/>
    <m/>
    <m/>
    <m/>
  </r>
  <r>
    <n v="135991"/>
    <d v="2018-10-08T00:32:00"/>
    <s v="Fortigate 200E Expiration."/>
    <s v="Joseph Reynolds"/>
    <s v="jreynolds@yahoo.com"/>
    <x v="0"/>
    <x v="1"/>
    <x v="1"/>
    <x v="0"/>
    <x v="1"/>
    <d v="2018-12-06T01:09:00"/>
    <d v="2019-10-01T17:00:00"/>
    <x v="1"/>
    <x v="0"/>
    <x v="2"/>
    <s v="N/A"/>
    <x v="5"/>
    <n v="8"/>
    <n v="3"/>
    <s v="N/A"/>
    <s v="N/A"/>
    <s v="N/A"/>
    <s v="No SLA for Request"/>
    <x v="1"/>
    <m/>
    <m/>
    <m/>
    <m/>
  </r>
  <r>
    <n v="111478"/>
    <d v="2020-07-30T13:27:00"/>
    <s v="Create Accounting Warning Error Messages"/>
    <s v="Kimberly Jones"/>
    <s v="kjones@outlook.com"/>
    <x v="1"/>
    <x v="0"/>
    <x v="0"/>
    <x v="0"/>
    <x v="2"/>
    <d v="2021-04-08T15:18:00"/>
    <d v="2020-07-30T19:27:00"/>
    <x v="1"/>
    <x v="0"/>
    <x v="1"/>
    <s v="N/A"/>
    <x v="1"/>
    <n v="132"/>
    <n v="25"/>
    <s v="PROD"/>
    <s v="PRODUCTION"/>
    <s v="New Ticket"/>
    <d v="2020-08-04T00:00:00"/>
    <x v="0"/>
    <m/>
    <m/>
    <m/>
    <m/>
  </r>
  <r>
    <n v="111633"/>
    <d v="2021-03-11T10:41:00"/>
    <s v="Chedft_2018 Error Generating"/>
    <s v="Jasper John"/>
    <s v="jasper.john@gmail.com"/>
    <x v="1"/>
    <x v="0"/>
    <x v="0"/>
    <x v="0"/>
    <x v="1"/>
    <d v="2021-04-07T15:05:00"/>
    <d v="2021-03-16T10:41:00"/>
    <x v="1"/>
    <x v="1"/>
    <x v="1"/>
    <s v="N/A"/>
    <x v="0"/>
    <n v="32"/>
    <n v="8"/>
    <s v="PROD"/>
    <s v="PRODUCTION"/>
    <s v="New Ticket"/>
    <d v="2021-03-16T00:00:00"/>
    <x v="0"/>
    <m/>
    <m/>
    <m/>
    <m/>
  </r>
  <r>
    <n v="111649"/>
    <d v="2021-03-23T16:39:00"/>
    <s v="Error Uploading Template In Report Definition"/>
    <s v="Jasper John"/>
    <s v="jasper.john@gmail.com"/>
    <x v="1"/>
    <x v="0"/>
    <x v="0"/>
    <x v="0"/>
    <x v="2"/>
    <d v="2021-04-05T08:50:00"/>
    <d v="2023-09-22T04:39:00"/>
    <x v="0"/>
    <x v="0"/>
    <x v="1"/>
    <s v="N/A"/>
    <x v="0"/>
    <n v="6"/>
    <n v="2"/>
    <s v="PROD"/>
    <s v="PRODUCTION"/>
    <s v="New Ticket"/>
    <d v="2021-03-26T00:00:00"/>
    <x v="0"/>
    <m/>
    <m/>
    <m/>
    <m/>
  </r>
  <r>
    <n v="111570"/>
    <d v="2020-12-04T09:35:00"/>
    <s v="Applying Withholding Tax"/>
    <s v="Kimberly Jones"/>
    <s v="kjones@outlook.com"/>
    <x v="1"/>
    <x v="0"/>
    <x v="0"/>
    <x v="0"/>
    <x v="1"/>
    <d v="2021-03-31T11:52:00"/>
    <d v="2020-12-04T15:35:00"/>
    <x v="1"/>
    <x v="0"/>
    <x v="1"/>
    <s v="N/A"/>
    <x v="1"/>
    <n v="38"/>
    <n v="5"/>
    <s v="PROD"/>
    <s v="PRODUCTION"/>
    <s v="New Ticket"/>
    <d v="2020-12-09T00:00:00"/>
    <x v="0"/>
    <m/>
    <m/>
    <m/>
    <m/>
  </r>
  <r>
    <n v="111501"/>
    <d v="2020-09-09T13:27:00"/>
    <s v="Self Service - Legislative Information"/>
    <s v="Troy Daniels"/>
    <s v="troy.daniels@outlook.com"/>
    <x v="1"/>
    <x v="0"/>
    <x v="0"/>
    <x v="0"/>
    <x v="0"/>
    <d v="2021-03-15T18:56:00"/>
    <d v="2020-09-12T13:27:00"/>
    <x v="0"/>
    <x v="0"/>
    <x v="0"/>
    <s v="N/A"/>
    <x v="1"/>
    <n v="59"/>
    <n v="8"/>
    <s v="PROD"/>
    <s v="PRODUCTION"/>
    <s v="New Ticket"/>
    <d v="2020-09-14T00:00:00"/>
    <x v="0"/>
    <m/>
    <m/>
    <m/>
    <m/>
  </r>
  <r>
    <n v="111590"/>
    <d v="2021-01-10T21:35:00"/>
    <s v="Spms - Approver'S Page"/>
    <s v="Jane Wilberts"/>
    <s v="jwilberts@mailiN/Ator.com"/>
    <x v="1"/>
    <x v="0"/>
    <x v="0"/>
    <x v="0"/>
    <x v="0"/>
    <d v="2021-02-08T17:02:00"/>
    <d v="2021-01-11T03:35:00"/>
    <x v="0"/>
    <x v="0"/>
    <x v="0"/>
    <s v="N/A"/>
    <x v="1"/>
    <n v="13"/>
    <n v="4"/>
    <s v="PROD"/>
    <s v="PRODUCTION"/>
    <s v="New Ticket"/>
    <d v="2021-01-13T00:00:00"/>
    <x v="0"/>
    <m/>
    <m/>
    <m/>
    <m/>
  </r>
  <r>
    <n v="111597"/>
    <d v="2021-01-22T13:59:00"/>
    <s v="Up Los Baños Not Included In Pmp"/>
    <s v="Jane Wilberts"/>
    <s v="jwilberts@mailiN/Ator.com"/>
    <x v="1"/>
    <x v="0"/>
    <x v="0"/>
    <x v="0"/>
    <x v="0"/>
    <d v="2021-02-05T17:31:00"/>
    <d v="2021-01-22T19:59:00"/>
    <x v="0"/>
    <x v="0"/>
    <x v="0"/>
    <s v="N/A"/>
    <x v="1"/>
    <n v="14"/>
    <n v="5"/>
    <s v="PROD"/>
    <s v="PRODUCTION"/>
    <s v="New Ticket"/>
    <d v="2021-01-27T00:00:00"/>
    <x v="0"/>
    <m/>
    <m/>
    <m/>
    <m/>
  </r>
  <r>
    <n v="111601"/>
    <d v="2021-01-28T17:07:00"/>
    <s v="Slow Performance"/>
    <s v="Aurora Miller"/>
    <s v="aurora.miller@outlook.com"/>
    <x v="1"/>
    <x v="0"/>
    <x v="0"/>
    <x v="0"/>
    <x v="0"/>
    <d v="2021-01-29T17:14:00"/>
    <d v="2021-01-28T23:07:00"/>
    <x v="0"/>
    <x v="0"/>
    <x v="0"/>
    <s v="N/A"/>
    <x v="0"/>
    <n v="6"/>
    <n v="2"/>
    <s v="PROD"/>
    <s v="PRODUCTION"/>
    <s v="Close Ticket"/>
    <d v="2021-02-02T00:00:00"/>
    <x v="2"/>
    <m/>
    <m/>
    <m/>
    <m/>
  </r>
  <r>
    <n v="111549"/>
    <d v="2020-11-10T10:16:00"/>
    <s v="Java Loads But Won'T Launch Applet"/>
    <s v="Kenex Willows"/>
    <s v="kwillows@yahoo.com"/>
    <x v="1"/>
    <x v="0"/>
    <x v="0"/>
    <x v="0"/>
    <x v="0"/>
    <d v="2021-01-22T18:08:00"/>
    <d v="2020-11-10T22:16:00"/>
    <x v="0"/>
    <x v="0"/>
    <x v="0"/>
    <s v="N/A"/>
    <x v="1"/>
    <n v="19"/>
    <n v="11"/>
    <s v="PROD"/>
    <s v="PRODUCTION"/>
    <s v="Close Ticket"/>
    <d v="2020-11-13T00:00:00"/>
    <x v="0"/>
    <m/>
    <m/>
    <m/>
    <m/>
  </r>
  <r>
    <n v="111588"/>
    <d v="2020-12-29T12:37:00"/>
    <s v="End Date Element Entries For 300 Employees"/>
    <s v="Melody Thompson"/>
    <s v="mthompson@yahoo.com"/>
    <x v="1"/>
    <x v="0"/>
    <x v="1"/>
    <x v="0"/>
    <x v="0"/>
    <d v="2021-01-19T17:38:00"/>
    <d v="2020-12-30T00:37:00"/>
    <x v="0"/>
    <x v="0"/>
    <x v="0"/>
    <s v="N/A"/>
    <x v="1"/>
    <n v="10"/>
    <n v="1"/>
    <s v="NON-PROD"/>
    <s v="TEST"/>
    <s v="New Ticket"/>
    <s v="No SLA for Request"/>
    <x v="1"/>
    <m/>
    <m/>
    <m/>
    <m/>
  </r>
  <r>
    <n v="111565"/>
    <d v="2020-12-01T09:47:00"/>
    <s v="Slowdown In Jde Prod"/>
    <s v="Melody Thompson"/>
    <s v="mthompson@yahoo.com"/>
    <x v="1"/>
    <x v="0"/>
    <x v="0"/>
    <x v="0"/>
    <x v="0"/>
    <d v="2021-01-19T17:31:00"/>
    <d v="2020-12-01T21:47:00"/>
    <x v="0"/>
    <x v="0"/>
    <x v="0"/>
    <s v="N/A"/>
    <x v="1"/>
    <n v="14"/>
    <n v="2"/>
    <s v="PROD"/>
    <s v="PRODUCTION"/>
    <s v="New Ticket"/>
    <d v="2020-12-04T00:00:00"/>
    <x v="0"/>
    <m/>
    <m/>
    <m/>
    <m/>
  </r>
  <r>
    <n v="111587"/>
    <d v="2020-12-29T12:22:00"/>
    <s v="Errors In Odsm"/>
    <s v="Jasper John"/>
    <s v="jasper.john@gmail.com"/>
    <x v="1"/>
    <x v="0"/>
    <x v="0"/>
    <x v="0"/>
    <x v="0"/>
    <d v="2021-01-13T17:04:00"/>
    <d v="2020-12-30T00:22:00"/>
    <x v="0"/>
    <x v="0"/>
    <x v="0"/>
    <s v="N/A"/>
    <x v="0"/>
    <n v="7"/>
    <n v="2"/>
    <s v="NON-PROD"/>
    <s v="PRODUCTION"/>
    <s v="New Ticket"/>
    <d v="2021-01-01T00:00:00"/>
    <x v="0"/>
    <m/>
    <m/>
    <m/>
    <m/>
  </r>
  <r>
    <n v="111574"/>
    <d v="2020-12-10T09:52:00"/>
    <s v="Odsm Login Issue"/>
    <s v="Aurora Miller"/>
    <s v="aurora.miller@outlook.com"/>
    <x v="1"/>
    <x v="0"/>
    <x v="0"/>
    <x v="0"/>
    <x v="0"/>
    <d v="2021-01-04T17:46:00"/>
    <d v="2020-12-10T21:52:00"/>
    <x v="0"/>
    <x v="0"/>
    <x v="0"/>
    <s v="N/A"/>
    <x v="0"/>
    <n v="5"/>
    <n v="1"/>
    <s v="PROD"/>
    <s v="PRODUCTION"/>
    <s v="Open"/>
    <d v="2020-12-15T00:00:00"/>
    <x v="0"/>
    <m/>
    <m/>
    <m/>
    <m/>
  </r>
  <r>
    <n v="111577"/>
    <d v="2020-12-10T10:15:00"/>
    <s v="Odsm Issue"/>
    <s v="Aurora Miller"/>
    <s v="aurora.miller@outlook.com"/>
    <x v="1"/>
    <x v="0"/>
    <x v="0"/>
    <x v="0"/>
    <x v="0"/>
    <d v="2021-01-04T17:42:00"/>
    <d v="2020-12-10T22:15:00"/>
    <x v="0"/>
    <x v="0"/>
    <x v="0"/>
    <s v="N/A"/>
    <x v="0"/>
    <n v="5"/>
    <n v="1"/>
    <s v="PROD"/>
    <s v="PRODUCTION"/>
    <s v="Open"/>
    <d v="2020-12-15T00:00:00"/>
    <x v="0"/>
    <m/>
    <m/>
    <m/>
    <m/>
  </r>
  <r>
    <n v="111506"/>
    <d v="2020-09-23T18:02:00"/>
    <s v="Create Accounting - Accounting Class Error"/>
    <s v="Kimberly Jones"/>
    <s v="kjones@outlook.com"/>
    <x v="1"/>
    <x v="0"/>
    <x v="0"/>
    <x v="0"/>
    <x v="2"/>
    <d v="2020-12-09T12:30:00"/>
    <d v="2020-09-24T00:02:00"/>
    <x v="1"/>
    <x v="1"/>
    <x v="1"/>
    <s v="N/A"/>
    <x v="1"/>
    <n v="31"/>
    <n v="3"/>
    <s v="PROD"/>
    <s v="PRODUCTION"/>
    <s v="New Ticket"/>
    <d v="2020-09-28T00:00:00"/>
    <x v="0"/>
    <m/>
    <m/>
    <m/>
    <m/>
  </r>
  <r>
    <n v="111539"/>
    <d v="2020-10-21T15:16:00"/>
    <s v="App-Sqlap-10000 In Payables Module"/>
    <s v="Kenex Willows"/>
    <s v="kwillows@yahoo.com"/>
    <x v="1"/>
    <x v="0"/>
    <x v="1"/>
    <x v="0"/>
    <x v="0"/>
    <d v="2020-12-03T08:00:00"/>
    <d v="2020-10-22T03:16:00"/>
    <x v="0"/>
    <x v="0"/>
    <x v="0"/>
    <s v="N/A"/>
    <x v="1"/>
    <n v="7"/>
    <n v="0"/>
    <s v="NON-PROD"/>
    <s v="TEST"/>
    <s v="Close Ticket"/>
    <s v="No SLA for Request"/>
    <x v="1"/>
    <m/>
    <m/>
    <m/>
    <m/>
  </r>
  <r>
    <n v="111535"/>
    <d v="2020-10-19T10:00:00"/>
    <s v="Vpn Setup"/>
    <s v="Tomi Yamamoto"/>
    <s v="tyamamoto@gmail.com"/>
    <x v="1"/>
    <x v="1"/>
    <x v="1"/>
    <x v="0"/>
    <x v="0"/>
    <d v="2020-11-17T12:22:00"/>
    <d v="2020-10-19T22:00:00"/>
    <x v="0"/>
    <x v="0"/>
    <x v="0"/>
    <s v="N/A"/>
    <x v="4"/>
    <n v="4"/>
    <n v="0"/>
    <s v="PROD"/>
    <s v="DEVELOPMENT"/>
    <s v="New Ticket"/>
    <s v="No SLA for Request"/>
    <x v="1"/>
    <m/>
    <m/>
    <m/>
    <m/>
  </r>
  <r>
    <n v="111517"/>
    <d v="2020-10-05T13:03:00"/>
    <s v="Cannot Generate Report After Db Downgrade"/>
    <s v="Aurora Miller"/>
    <s v="aurora.miller@outlook.com"/>
    <x v="1"/>
    <x v="0"/>
    <x v="0"/>
    <x v="0"/>
    <x v="0"/>
    <d v="2020-10-14T17:16:00"/>
    <d v="2020-10-06T01:03:00"/>
    <x v="0"/>
    <x v="0"/>
    <x v="0"/>
    <s v="N/A"/>
    <x v="0"/>
    <n v="6"/>
    <n v="1"/>
    <s v="PROD"/>
    <s v="PRODUCTION"/>
    <s v="New Ticket"/>
    <d v="2020-10-08T00:00:00"/>
    <x v="0"/>
    <m/>
    <m/>
    <m/>
    <m/>
  </r>
  <r>
    <n v="111495"/>
    <d v="2020-08-23T14:23:00"/>
    <s v="Web Adi Issue"/>
    <s v="Kimberly Jones"/>
    <s v="kjones@outlook.com"/>
    <x v="1"/>
    <x v="0"/>
    <x v="0"/>
    <x v="0"/>
    <x v="0"/>
    <d v="2020-09-23T18:27:00"/>
    <d v="2020-08-24T02:23:00"/>
    <x v="0"/>
    <x v="0"/>
    <x v="0"/>
    <s v="N/A"/>
    <x v="1"/>
    <n v="21"/>
    <n v="2"/>
    <s v="PROD"/>
    <s v="PRODUCTION"/>
    <s v="New Ticket"/>
    <d v="2020-08-26T00:00:00"/>
    <x v="0"/>
    <m/>
    <m/>
    <m/>
    <m/>
  </r>
  <r>
    <n v="111498"/>
    <d v="2020-08-27T10:53:00"/>
    <s v="Error Still Occured In Bee Spreadsheet Page"/>
    <s v="Melody Thompson"/>
    <s v="mthompson@yahoo.com"/>
    <x v="1"/>
    <x v="0"/>
    <x v="0"/>
    <x v="0"/>
    <x v="0"/>
    <d v="2020-09-21T14:17:00"/>
    <d v="2020-08-27T22:53:00"/>
    <x v="0"/>
    <x v="0"/>
    <x v="0"/>
    <s v="N/A"/>
    <x v="1"/>
    <n v="18"/>
    <n v="3"/>
    <s v="PROD"/>
    <s v="PRODUCTION"/>
    <s v="New Ticket"/>
    <d v="2020-09-01T00:00:00"/>
    <x v="0"/>
    <m/>
    <m/>
    <m/>
    <m/>
  </r>
  <r>
    <n v="111474"/>
    <d v="2020-07-21T13:39:00"/>
    <s v="Oracle Web Adi: Fatal Error"/>
    <s v="Kimberly Jones"/>
    <s v="kjones@outlook.com"/>
    <x v="1"/>
    <x v="0"/>
    <x v="0"/>
    <x v="0"/>
    <x v="0"/>
    <d v="2020-08-05T17:49:00"/>
    <d v="2020-07-22T01:39:00"/>
    <x v="0"/>
    <x v="0"/>
    <x v="0"/>
    <s v="N/A"/>
    <x v="1"/>
    <n v="13"/>
    <n v="4"/>
    <s v="PROD"/>
    <s v="PRODUCTION"/>
    <s v="Close Ticket"/>
    <d v="2020-07-24T00:00:00"/>
    <x v="0"/>
    <m/>
    <m/>
    <m/>
    <m/>
  </r>
  <r>
    <n v="111469"/>
    <d v="2020-07-13T11:03:00"/>
    <s v="Error Page In Bee Spreadsheet Interface"/>
    <s v="Melody Thompson"/>
    <s v="mthompson@yahoo.com"/>
    <x v="1"/>
    <x v="0"/>
    <x v="0"/>
    <x v="0"/>
    <x v="0"/>
    <d v="2020-08-03T12:12:00"/>
    <d v="2020-07-13T23:03:00"/>
    <x v="0"/>
    <x v="0"/>
    <x v="0"/>
    <s v="N/A"/>
    <x v="1"/>
    <n v="11"/>
    <n v="5"/>
    <s v="PROD"/>
    <s v="PRODUCTION"/>
    <s v="Close Ticket"/>
    <d v="2020-07-16T00:00:00"/>
    <x v="0"/>
    <m/>
    <m/>
    <m/>
    <m/>
  </r>
  <r>
    <n v="111446"/>
    <d v="2020-06-18T15:35:00"/>
    <s v="Url Attachment - Authority To Fill"/>
    <s v="Troy Daniels"/>
    <s v="troy.daniels@outlook.com"/>
    <x v="1"/>
    <x v="0"/>
    <x v="0"/>
    <x v="0"/>
    <x v="0"/>
    <d v="2020-07-30T17:03:00"/>
    <d v="2020-06-19T03:35:00"/>
    <x v="0"/>
    <x v="0"/>
    <x v="0"/>
    <s v="N/A"/>
    <x v="1"/>
    <n v="5"/>
    <n v="4"/>
    <s v="PROD"/>
    <s v="PRODUCTION"/>
    <s v="New Ticket"/>
    <d v="2020-06-23T00:00:00"/>
    <x v="0"/>
    <m/>
    <m/>
    <m/>
    <m/>
  </r>
  <r>
    <n v="111382"/>
    <d v="2020-02-07T15:32:00"/>
    <s v="Set Up And Configuration Of Eset"/>
    <s v="Tomi Yamamoto"/>
    <s v="tyamamoto@gmail.com"/>
    <x v="1"/>
    <x v="1"/>
    <x v="1"/>
    <x v="0"/>
    <x v="0"/>
    <d v="2020-07-13T12:15:00"/>
    <d v="2020-02-08T03:32:00"/>
    <x v="0"/>
    <x v="0"/>
    <x v="0"/>
    <s v="N/A"/>
    <x v="2"/>
    <n v="4"/>
    <n v="0"/>
    <s v="N/A"/>
    <s v="N/A"/>
    <s v="New Ticket"/>
    <s v="No SLA for Request"/>
    <x v="1"/>
    <m/>
    <m/>
    <m/>
    <m/>
  </r>
  <r>
    <n v="111456"/>
    <d v="2020-07-02T12:11:00"/>
    <s v="Notifications"/>
    <s v="Jane Wilberts"/>
    <s v="jwilberts@mailiN/Ator.com"/>
    <x v="1"/>
    <x v="0"/>
    <x v="1"/>
    <x v="0"/>
    <x v="0"/>
    <d v="2020-07-06T17:36:00"/>
    <s v="N/A"/>
    <x v="0"/>
    <x v="0"/>
    <x v="0"/>
    <s v="N/A"/>
    <x v="1"/>
    <n v="4"/>
    <n v="1"/>
    <s v="NON-PROD"/>
    <s v="TEST"/>
    <s v="Close Ticket"/>
    <s v="No SLA for Request"/>
    <x v="1"/>
    <m/>
    <m/>
    <m/>
    <m/>
  </r>
  <r>
    <n v="111417"/>
    <d v="2020-04-29T07:45:00"/>
    <s v="Workspace Problem After Bpm Version Upgrade"/>
    <s v="Willard Smith"/>
    <s v="willard.smith@mailiN/Ator.com"/>
    <x v="1"/>
    <x v="1"/>
    <x v="0"/>
    <x v="0"/>
    <x v="0"/>
    <d v="2020-06-25T16:39:00"/>
    <d v="2020-04-29T19:45:00"/>
    <x v="0"/>
    <x v="0"/>
    <x v="0"/>
    <s v="N/A"/>
    <x v="6"/>
    <n v="6"/>
    <n v="4"/>
    <s v="N/A"/>
    <s v="PRODUCTION"/>
    <s v="Open"/>
    <d v="2020-05-04T00:00:00"/>
    <x v="0"/>
    <m/>
    <m/>
    <m/>
    <m/>
  </r>
  <r>
    <n v="111434"/>
    <d v="2020-06-03T16:30:00"/>
    <s v="Find Oracle Table Of Position Occupancy"/>
    <s v="Melody Thompson"/>
    <s v="mthompson@yahoo.com"/>
    <x v="1"/>
    <x v="0"/>
    <x v="1"/>
    <x v="0"/>
    <x v="0"/>
    <d v="2020-06-24T15:39:00"/>
    <s v="N/A"/>
    <x v="0"/>
    <x v="0"/>
    <x v="0"/>
    <s v="N/A"/>
    <x v="1"/>
    <n v="16"/>
    <n v="10"/>
    <s v="PROD"/>
    <s v="PRODUCTION"/>
    <s v="New Ticket"/>
    <s v="No SLA for Request"/>
    <x v="1"/>
    <m/>
    <m/>
    <m/>
    <m/>
  </r>
  <r>
    <n v="111437"/>
    <d v="2020-06-08T11:35:00"/>
    <s v="Replace Actual Email In Test Instance"/>
    <s v="Melody Thompson"/>
    <s v="mthompson@yahoo.com"/>
    <x v="1"/>
    <x v="0"/>
    <x v="1"/>
    <x v="0"/>
    <x v="0"/>
    <d v="2020-06-15T08:43:00"/>
    <s v="N/A"/>
    <x v="0"/>
    <x v="0"/>
    <x v="0"/>
    <s v="N/A"/>
    <x v="1"/>
    <n v="13"/>
    <n v="2"/>
    <s v="NON-PROD"/>
    <s v="TEST"/>
    <s v="Close Ticket"/>
    <s v="No SLA for Request"/>
    <x v="1"/>
    <m/>
    <m/>
    <m/>
    <m/>
  </r>
  <r>
    <n v="111353"/>
    <d v="2019-12-04T14:16:00"/>
    <s v="Can'T Access My Account"/>
    <s v="Marvin Peters"/>
    <s v="mpeters@outlook.com"/>
    <x v="1"/>
    <x v="0"/>
    <x v="0"/>
    <x v="0"/>
    <x v="0"/>
    <d v="2020-05-11T17:18:00"/>
    <s v="N/A"/>
    <x v="0"/>
    <x v="0"/>
    <x v="0"/>
    <s v="N/A"/>
    <x v="0"/>
    <n v="79"/>
    <n v="4"/>
    <s v="PROD"/>
    <s v="PRODUCTION"/>
    <s v="New Ticket"/>
    <d v="2019-12-09T00:00:00"/>
    <x v="0"/>
    <m/>
    <m/>
    <m/>
    <m/>
  </r>
  <r>
    <n v="111320"/>
    <d v="2019-10-08T15:38:00"/>
    <s v="Deferred Po Transactions"/>
    <s v="Reah Junes"/>
    <s v="rjunes@yahoo.com"/>
    <x v="1"/>
    <x v="0"/>
    <x v="0"/>
    <x v="0"/>
    <x v="0"/>
    <d v="2020-05-07T13:24:00"/>
    <s v="N/A"/>
    <x v="0"/>
    <x v="0"/>
    <x v="0"/>
    <s v="N/A"/>
    <x v="1"/>
    <n v="55"/>
    <n v="9"/>
    <s v="PROD"/>
    <s v="PRODUCTION"/>
    <s v="New Ticket"/>
    <d v="2019-10-11T00:00:00"/>
    <x v="0"/>
    <m/>
    <m/>
    <m/>
    <m/>
  </r>
  <r>
    <n v="111390"/>
    <d v="2020-02-18T11:05:00"/>
    <s v="Expense Report Stuck At Ame Approval Process/Block"/>
    <s v="Kenex Willows"/>
    <s v="kwillows@yahoo.com"/>
    <x v="1"/>
    <x v="0"/>
    <x v="0"/>
    <x v="0"/>
    <x v="0"/>
    <d v="2020-05-06T15:46:00"/>
    <s v="N/A"/>
    <x v="0"/>
    <x v="0"/>
    <x v="0"/>
    <s v="N/A"/>
    <x v="1"/>
    <n v="24"/>
    <n v="2"/>
    <s v="PROD"/>
    <s v="PRODUCTION"/>
    <s v="Close Ticket"/>
    <d v="2020-02-21T00:00:00"/>
    <x v="0"/>
    <m/>
    <m/>
    <m/>
    <m/>
  </r>
  <r>
    <n v="111409"/>
    <d v="2020-04-15T11:46:00"/>
    <s v="Server Failed To Start (Application Server)"/>
    <s v="John Brown"/>
    <s v="jbrown@outlook.com"/>
    <x v="1"/>
    <x v="0"/>
    <x v="0"/>
    <x v="0"/>
    <x v="0"/>
    <d v="2020-04-16T15:34:00"/>
    <s v="N/A"/>
    <x v="0"/>
    <x v="0"/>
    <x v="0"/>
    <s v="N/A"/>
    <x v="3"/>
    <n v="6"/>
    <n v="1"/>
    <s v="NON-PROD"/>
    <s v="DEVELOPMENT"/>
    <s v="Close Ticket"/>
    <d v="2020-04-20T00:00:00"/>
    <x v="2"/>
    <m/>
    <m/>
    <m/>
    <m/>
  </r>
  <r>
    <n v="111383"/>
    <d v="2020-02-10T10:03:00"/>
    <s v="Jde Approval Cannot Be Approved Or Transferred"/>
    <s v="Kenex Willows"/>
    <s v="kwillows@yahoo.com"/>
    <x v="1"/>
    <x v="0"/>
    <x v="0"/>
    <x v="0"/>
    <x v="0"/>
    <d v="2020-04-08T17:09:00"/>
    <s v="N/A"/>
    <x v="0"/>
    <x v="0"/>
    <x v="0"/>
    <s v="N/A"/>
    <x v="1"/>
    <n v="17"/>
    <n v="2"/>
    <s v="PROD"/>
    <s v="DEVELOPMENT"/>
    <s v="New Ticket"/>
    <d v="2020-02-13T00:00:00"/>
    <x v="0"/>
    <m/>
    <m/>
    <m/>
    <m/>
  </r>
  <r>
    <n v="111404"/>
    <d v="2020-03-23T16:08:00"/>
    <s v="Cs 9.2 Server Issue"/>
    <s v="John Brown"/>
    <s v="jbrown@outlook.com"/>
    <x v="1"/>
    <x v="0"/>
    <x v="0"/>
    <x v="0"/>
    <x v="0"/>
    <d v="2020-04-02T17:22:00"/>
    <s v="N/A"/>
    <x v="0"/>
    <x v="0"/>
    <x v="0"/>
    <s v="N/A"/>
    <x v="0"/>
    <n v="6"/>
    <n v="1"/>
    <s v="NON-PROD"/>
    <s v="DEVELOPMENT"/>
    <s v="Close Ticket"/>
    <d v="2020-03-26T00:00:00"/>
    <x v="0"/>
    <m/>
    <m/>
    <m/>
    <m/>
  </r>
  <r>
    <n v="111401"/>
    <d v="2020-03-13T11:12:00"/>
    <s v="Application Designer In 9.0 Prod"/>
    <s v="John Brown"/>
    <s v="jbrown@outlook.com"/>
    <x v="1"/>
    <x v="0"/>
    <x v="0"/>
    <x v="0"/>
    <x v="0"/>
    <d v="2020-03-24T17:08:00"/>
    <s v="N/A"/>
    <x v="0"/>
    <x v="0"/>
    <x v="0"/>
    <s v="N/A"/>
    <x v="0"/>
    <n v="19"/>
    <n v="1"/>
    <s v="PROD"/>
    <s v="DEVELOPMENT"/>
    <s v="New Ticket"/>
    <d v="2020-03-18T00:00:00"/>
    <x v="0"/>
    <m/>
    <m/>
    <m/>
    <m/>
  </r>
  <r>
    <n v="111393"/>
    <d v="2020-02-28T13:48:00"/>
    <s v="Can'T Access Test Instance"/>
    <s v="Jane Wilberts"/>
    <s v="jwilberts@mailiN/Ator.com"/>
    <x v="1"/>
    <x v="0"/>
    <x v="0"/>
    <x v="0"/>
    <x v="0"/>
    <d v="2020-03-23T13:06:00"/>
    <s v="N/A"/>
    <x v="0"/>
    <x v="0"/>
    <x v="0"/>
    <s v="N/A"/>
    <x v="1"/>
    <n v="29"/>
    <n v="3"/>
    <s v="NON-PROD"/>
    <s v="DEVELOPMENT"/>
    <s v="New Ticket"/>
    <d v="2020-03-04T00:00:00"/>
    <x v="0"/>
    <m/>
    <m/>
    <m/>
    <m/>
  </r>
  <r>
    <n v="111391"/>
    <d v="2020-02-26T15:36:00"/>
    <s v="Prod: Security Changed In Latest Start Date Field"/>
    <s v="Melody Thompson"/>
    <s v="mthompson@yahoo.com"/>
    <x v="1"/>
    <x v="0"/>
    <x v="1"/>
    <x v="0"/>
    <x v="0"/>
    <d v="2020-03-05T14:11:00"/>
    <s v="N/A"/>
    <x v="0"/>
    <x v="0"/>
    <x v="0"/>
    <s v="N/A"/>
    <x v="1"/>
    <n v="20"/>
    <n v="10"/>
    <s v="PROD"/>
    <s v="DEVELOPMENT"/>
    <s v="New Ticket"/>
    <s v="No SLA for Request"/>
    <x v="1"/>
    <m/>
    <m/>
    <m/>
    <m/>
  </r>
  <r>
    <n v="111380"/>
    <d v="2020-01-30T10:36:00"/>
    <s v="Reset Of Palo Alto"/>
    <s v="Tomi Yamamoto"/>
    <s v="tyamamoto@gmail.com"/>
    <x v="1"/>
    <x v="1"/>
    <x v="1"/>
    <x v="0"/>
    <x v="0"/>
    <d v="2020-02-07T16:37:00"/>
    <d v="2020-01-30T22:36:00"/>
    <x v="0"/>
    <x v="0"/>
    <x v="2"/>
    <s v="N/A"/>
    <x v="2"/>
    <n v="5"/>
    <n v="0"/>
    <s v="N/A"/>
    <s v="N/A"/>
    <s v="New Ticket"/>
    <s v="No SLA for Request"/>
    <x v="1"/>
    <m/>
    <m/>
    <m/>
    <m/>
  </r>
  <r>
    <n v="111378"/>
    <d v="2020-01-27T14:08:00"/>
    <s v="Sf Error"/>
    <s v="Aurora Miller"/>
    <s v="aurora.miller@outlook.com"/>
    <x v="1"/>
    <x v="0"/>
    <x v="0"/>
    <x v="0"/>
    <x v="0"/>
    <d v="2020-01-31T16:36:00"/>
    <s v="N/A"/>
    <x v="0"/>
    <x v="0"/>
    <x v="0"/>
    <s v="N/A"/>
    <x v="0"/>
    <n v="6"/>
    <n v="5"/>
    <s v="PROD"/>
    <s v="DEVELOPMENT"/>
    <s v="Close Ticket"/>
    <d v="2020-01-30T00:00:00"/>
    <x v="0"/>
    <m/>
    <m/>
    <m/>
    <m/>
  </r>
  <r>
    <n v="111369"/>
    <d v="2020-01-10T08:39:00"/>
    <s v="Slow Loading Of Sap Jan 10 2020"/>
    <s v="Jasper John"/>
    <s v="jasper.john@gmail.com"/>
    <x v="1"/>
    <x v="0"/>
    <x v="0"/>
    <x v="0"/>
    <x v="0"/>
    <d v="2020-01-27T17:40:00"/>
    <s v="N/A"/>
    <x v="0"/>
    <x v="0"/>
    <x v="0"/>
    <s v="N/A"/>
    <x v="0"/>
    <n v="8"/>
    <n v="1"/>
    <s v="PROD"/>
    <s v="DEVELOPMENT"/>
    <s v="New Ticket"/>
    <d v="2020-01-15T00:00:00"/>
    <x v="0"/>
    <m/>
    <m/>
    <m/>
    <m/>
  </r>
  <r>
    <n v="111318"/>
    <d v="2019-10-04T14:22:00"/>
    <s v="Ame Approval Udpdates Not Reflecting In The Db"/>
    <s v="Reah Junes"/>
    <s v="rjunes@yahoo.com"/>
    <x v="1"/>
    <x v="0"/>
    <x v="0"/>
    <x v="0"/>
    <x v="0"/>
    <d v="2020-01-15T17:18:00"/>
    <s v="N/A"/>
    <x v="0"/>
    <x v="0"/>
    <x v="0"/>
    <s v="N/A"/>
    <x v="1"/>
    <n v="24"/>
    <n v="4"/>
    <s v="PROD"/>
    <s v="DEVELOPMENT"/>
    <s v="New Ticket"/>
    <d v="2019-10-09T00:00:00"/>
    <x v="0"/>
    <m/>
    <m/>
    <m/>
    <m/>
  </r>
  <r>
    <n v="111361"/>
    <d v="2019-12-23T16:59:00"/>
    <s v="Peoplesoft Restricted Service"/>
    <s v="John Brown"/>
    <s v="jbrown@outlook.com"/>
    <x v="1"/>
    <x v="0"/>
    <x v="0"/>
    <x v="0"/>
    <x v="0"/>
    <d v="2020-01-08T10:38:00"/>
    <d v="2019-12-24T04:59:00"/>
    <x v="0"/>
    <x v="0"/>
    <x v="0"/>
    <s v="N/A"/>
    <x v="0"/>
    <n v="12"/>
    <n v="2"/>
    <s v="N/A"/>
    <s v="N/A"/>
    <s v="Close Ticket"/>
    <d v="2019-12-26T00:00:00"/>
    <x v="0"/>
    <m/>
    <m/>
    <m/>
    <m/>
  </r>
  <r>
    <n v="111360"/>
    <d v="2019-12-19T09:00:00"/>
    <s v="Faculty Cannot Post Grade"/>
    <s v="Aurora Miller"/>
    <s v="aurora.miller@outlook.com"/>
    <x v="1"/>
    <x v="0"/>
    <x v="0"/>
    <x v="0"/>
    <x v="0"/>
    <d v="2020-01-06T17:29:00"/>
    <d v="2019-12-19T21:00:00"/>
    <x v="0"/>
    <x v="0"/>
    <x v="0"/>
    <s v="N/A"/>
    <x v="0"/>
    <n v="8"/>
    <n v="3"/>
    <s v="N/A"/>
    <s v="N/A"/>
    <s v="New Ticket"/>
    <d v="2019-12-24T00:00:00"/>
    <x v="0"/>
    <m/>
    <m/>
    <m/>
    <m/>
  </r>
  <r>
    <n v="111358"/>
    <d v="2019-12-11T14:10:00"/>
    <s v="UN/Able To Access The Cs 9.2"/>
    <s v="John Brown"/>
    <s v="jbrown@outlook.com"/>
    <x v="1"/>
    <x v="0"/>
    <x v="0"/>
    <x v="0"/>
    <x v="0"/>
    <d v="2019-12-23T15:32:00"/>
    <d v="2019-12-12T02:10:00"/>
    <x v="0"/>
    <x v="0"/>
    <x v="0"/>
    <s v="N/A"/>
    <x v="3"/>
    <n v="6"/>
    <n v="1"/>
    <s v="N/A"/>
    <s v="N/A"/>
    <s v="Close Ticket"/>
    <d v="2019-12-16T00:00:00"/>
    <x v="0"/>
    <m/>
    <m/>
    <m/>
    <m/>
  </r>
  <r>
    <n v="111351"/>
    <d v="2019-11-28T11:23:00"/>
    <s v="Can'T Login User Account"/>
    <s v="Marvin Peters"/>
    <s v="mpeters@outlook.com"/>
    <x v="1"/>
    <x v="0"/>
    <x v="0"/>
    <x v="0"/>
    <x v="0"/>
    <d v="2019-12-04T17:54:00"/>
    <d v="2019-11-28T23:23:00"/>
    <x v="0"/>
    <x v="0"/>
    <x v="0"/>
    <s v="N/A"/>
    <x v="0"/>
    <n v="8"/>
    <n v="1"/>
    <s v="N/A"/>
    <s v="N/A"/>
    <s v="Close Ticket"/>
    <d v="2019-12-03T00:00:00"/>
    <x v="0"/>
    <m/>
    <m/>
    <m/>
    <m/>
  </r>
  <r>
    <n v="111333"/>
    <d v="2019-10-25T14:33:00"/>
    <s v="Integration Gateway"/>
    <s v="John Brown"/>
    <s v="jbrown@outlook.com"/>
    <x v="1"/>
    <x v="0"/>
    <x v="0"/>
    <x v="0"/>
    <x v="0"/>
    <d v="2019-12-04T17:51:00"/>
    <d v="2019-10-26T02:33:00"/>
    <x v="0"/>
    <x v="0"/>
    <x v="0"/>
    <s v="N/A"/>
    <x v="0"/>
    <n v="15"/>
    <n v="3"/>
    <s v="N/A"/>
    <s v="N/A"/>
    <s v="Close Ticket"/>
    <d v="2019-10-30T00:00:00"/>
    <x v="0"/>
    <m/>
    <m/>
    <m/>
    <m/>
  </r>
  <r>
    <n v="111346"/>
    <d v="2019-11-20T12:04:00"/>
    <s v="Jde Prod Error Page Upon Login"/>
    <s v="Julius Wright"/>
    <s v="jwirght@outlook.com"/>
    <x v="1"/>
    <x v="0"/>
    <x v="0"/>
    <x v="0"/>
    <x v="0"/>
    <d v="2019-11-28T16:53:00"/>
    <d v="2019-11-21T00:04:00"/>
    <x v="0"/>
    <x v="0"/>
    <x v="0"/>
    <s v="N/A"/>
    <x v="1"/>
    <n v="25"/>
    <n v="2"/>
    <s v="N/A"/>
    <s v="N/A"/>
    <s v="New Ticket"/>
    <d v="2019-11-25T00:00:00"/>
    <x v="0"/>
    <m/>
    <m/>
    <m/>
    <m/>
  </r>
  <r>
    <n v="111227"/>
    <d v="2019-06-07T14:18:00"/>
    <s v="Adding Of Subject Enrollment Issue"/>
    <s v="Aurora Miller"/>
    <s v="aurora.miller@outlook.com"/>
    <x v="1"/>
    <x v="0"/>
    <x v="0"/>
    <x v="0"/>
    <x v="0"/>
    <d v="2019-11-21T17:54:00"/>
    <d v="2019-06-08T02:18:00"/>
    <x v="0"/>
    <x v="0"/>
    <x v="0"/>
    <s v="N/A"/>
    <x v="0"/>
    <n v="32"/>
    <n v="4"/>
    <s v="N/A"/>
    <s v="N/A"/>
    <s v="Close Ticket"/>
    <d v="2019-06-12T00:00:00"/>
    <x v="0"/>
    <m/>
    <m/>
    <m/>
    <m/>
  </r>
  <r>
    <n v="111334"/>
    <d v="2019-10-25T14:55:00"/>
    <s v="Palo Alto Update"/>
    <s v="Jane Wilberts"/>
    <s v="jwilberts@mailiN/Ator.com"/>
    <x v="1"/>
    <x v="1"/>
    <x v="0"/>
    <x v="0"/>
    <x v="0"/>
    <d v="2019-11-06T17:17:00"/>
    <d v="2019-10-26T02:55:00"/>
    <x v="0"/>
    <x v="0"/>
    <x v="2"/>
    <s v="N/A"/>
    <x v="2"/>
    <n v="6"/>
    <n v="0"/>
    <s v="N/A"/>
    <s v="N/A"/>
    <s v="Close Ticket"/>
    <d v="2019-10-30T00:00:00"/>
    <x v="0"/>
    <m/>
    <m/>
    <m/>
    <m/>
  </r>
  <r>
    <n v="111322"/>
    <d v="2019-10-11T13:42:00"/>
    <s v="UN/Able To Print Approved Certificate Of Service"/>
    <s v="Troy Daniels"/>
    <s v="troy.daniels@outlook.com"/>
    <x v="1"/>
    <x v="0"/>
    <x v="0"/>
    <x v="0"/>
    <x v="0"/>
    <d v="2019-10-21T17:58:00"/>
    <d v="2019-10-16T17:00:00"/>
    <x v="0"/>
    <x v="0"/>
    <x v="0"/>
    <s v="N/A"/>
    <x v="1"/>
    <n v="14"/>
    <n v="7"/>
    <s v="N/A"/>
    <s v="N/A"/>
    <s v="New Ticket"/>
    <d v="2019-10-16T00:00:00"/>
    <x v="0"/>
    <m/>
    <m/>
    <m/>
    <m/>
  </r>
  <r>
    <n v="111312"/>
    <d v="2019-10-01T10:33:00"/>
    <s v="Palo Alto Blocking Internet Of User"/>
    <s v="Tomi Yamamoto"/>
    <s v="tyamamoto@gmail.com"/>
    <x v="1"/>
    <x v="1"/>
    <x v="0"/>
    <x v="0"/>
    <x v="0"/>
    <d v="2019-10-21T13:46:00"/>
    <d v="2019-10-01T22:33:00"/>
    <x v="0"/>
    <x v="0"/>
    <x v="2"/>
    <s v="N/A"/>
    <x v="2"/>
    <n v="4"/>
    <n v="0"/>
    <s v="N/A"/>
    <s v="N/A"/>
    <s v="New Ticket"/>
    <d v="2019-10-04T00:00:00"/>
    <x v="0"/>
    <m/>
    <m/>
    <m/>
    <m/>
  </r>
  <r>
    <n v="111301"/>
    <d v="2019-09-17T10:04:00"/>
    <s v="Password Reset"/>
    <s v="Tomi Yamamoto"/>
    <s v="tyamamoto@gmail.com"/>
    <x v="1"/>
    <x v="1"/>
    <x v="1"/>
    <x v="0"/>
    <x v="0"/>
    <d v="2019-10-21T13:45:00"/>
    <d v="2019-09-17T22:04:00"/>
    <x v="0"/>
    <x v="0"/>
    <x v="2"/>
    <s v="N/A"/>
    <x v="2"/>
    <n v="10"/>
    <n v="2"/>
    <s v="N/A"/>
    <s v="N/A"/>
    <s v="New Ticket"/>
    <s v="No SLA for Request"/>
    <x v="1"/>
    <m/>
    <m/>
    <m/>
    <m/>
  </r>
  <r>
    <n v="111325"/>
    <d v="2019-10-14T16:47:00"/>
    <s v="Requesting For On-Site Visit"/>
    <s v="Tomi Yamamoto"/>
    <s v="tyamamoto@gmail.com"/>
    <x v="1"/>
    <x v="1"/>
    <x v="1"/>
    <x v="0"/>
    <x v="0"/>
    <d v="2019-10-21T13:44:00"/>
    <d v="2019-10-15T04:47:00"/>
    <x v="0"/>
    <x v="0"/>
    <x v="2"/>
    <s v="N/A"/>
    <x v="2"/>
    <n v="4"/>
    <n v="0"/>
    <s v="N/A"/>
    <s v="N/A"/>
    <s v="New Ticket"/>
    <s v="No SLA for Request"/>
    <x v="1"/>
    <m/>
    <m/>
    <m/>
    <m/>
  </r>
  <r>
    <n v="111321"/>
    <d v="2019-10-09T09:32:00"/>
    <s v="Up Custom Application - Print Receipt Button"/>
    <s v="Kenex Willows"/>
    <s v="kwillows@yahoo.com"/>
    <x v="1"/>
    <x v="0"/>
    <x v="0"/>
    <x v="0"/>
    <x v="0"/>
    <d v="2019-10-18T10:03:00"/>
    <d v="2019-10-17T17:00:00"/>
    <x v="0"/>
    <x v="0"/>
    <x v="0"/>
    <s v="N/A"/>
    <x v="1"/>
    <n v="15"/>
    <n v="6"/>
    <s v="N/A"/>
    <s v="N/A"/>
    <s v="Close Ticket"/>
    <d v="2019-10-14T00:00:00"/>
    <x v="0"/>
    <m/>
    <m/>
    <m/>
    <m/>
  </r>
  <r>
    <n v="111314"/>
    <d v="2019-10-02T16:58:00"/>
    <s v="Jde Prod Slowdown"/>
    <s v="Julius Wright"/>
    <s v="jwirght@outlook.com"/>
    <x v="1"/>
    <x v="0"/>
    <x v="0"/>
    <x v="0"/>
    <x v="0"/>
    <d v="2019-10-09T11:27:00"/>
    <d v="2019-10-03T04:58:00"/>
    <x v="0"/>
    <x v="0"/>
    <x v="0"/>
    <s v="N/A"/>
    <x v="1"/>
    <n v="8"/>
    <n v="1"/>
    <s v="N/A"/>
    <s v="N/A"/>
    <s v="New Ticket"/>
    <d v="2019-10-07T00:00:00"/>
    <x v="0"/>
    <m/>
    <m/>
    <m/>
    <m/>
  </r>
  <r>
    <n v="111261"/>
    <d v="2019-07-16T10:47:00"/>
    <s v="Port Forwarding"/>
    <s v="Jane Wilberts"/>
    <s v="jwilberts@mailiN/Ator.com"/>
    <x v="1"/>
    <x v="1"/>
    <x v="1"/>
    <x v="0"/>
    <x v="0"/>
    <d v="2019-10-08T18:28:00"/>
    <d v="2019-07-16T22:47:00"/>
    <x v="0"/>
    <x v="0"/>
    <x v="2"/>
    <s v="N/A"/>
    <x v="2"/>
    <n v="18"/>
    <n v="1"/>
    <s v="N/A"/>
    <s v="N/A"/>
    <s v="Close Ticket"/>
    <s v="No SLA for Request"/>
    <x v="1"/>
    <m/>
    <m/>
    <m/>
    <m/>
  </r>
  <r>
    <n v="111317"/>
    <d v="2019-10-04T12:19:00"/>
    <s v="Scheduled Payment Amount Different From Dv Amount"/>
    <s v="Kenex Willows"/>
    <s v="kwillows@yahoo.com"/>
    <x v="1"/>
    <x v="0"/>
    <x v="0"/>
    <x v="0"/>
    <x v="0"/>
    <d v="2019-10-07T17:26:00"/>
    <d v="2019-10-07T17:00:00"/>
    <x v="0"/>
    <x v="0"/>
    <x v="0"/>
    <s v="N/A"/>
    <x v="1"/>
    <n v="7"/>
    <n v="4"/>
    <s v="N/A"/>
    <s v="N/A"/>
    <s v="Close Ticket"/>
    <d v="2019-10-09T00:00:00"/>
    <x v="2"/>
    <m/>
    <m/>
    <m/>
    <m/>
  </r>
  <r>
    <n v="111177"/>
    <d v="2019-01-17T01:00:00"/>
    <s v="CrimiN/Al Case System"/>
    <s v="Sheila Ryder"/>
    <s v="sryder@mailiN/Ator.com"/>
    <x v="1"/>
    <x v="1"/>
    <x v="0"/>
    <x v="0"/>
    <x v="0"/>
    <d v="2019-10-01T10:49:00"/>
    <d v="2019-01-18T01:00:00"/>
    <x v="0"/>
    <x v="0"/>
    <x v="2"/>
    <s v="N/A"/>
    <x v="4"/>
    <n v="6"/>
    <n v="0"/>
    <s v="N/A"/>
    <s v="N/A"/>
    <s v="New Ticket"/>
    <d v="2019-01-22T00:00:00"/>
    <x v="0"/>
    <m/>
    <m/>
    <m/>
    <m/>
  </r>
  <r>
    <n v="111271"/>
    <d v="2019-07-24T14:42:00"/>
    <s v="Missing Content On The Ff Process Objects"/>
    <s v="Atom Short"/>
    <s v="atom.short@gmail.com"/>
    <x v="1"/>
    <x v="1"/>
    <x v="0"/>
    <x v="0"/>
    <x v="0"/>
    <d v="2019-10-01T10:44:00"/>
    <d v="2019-07-25T02:42:00"/>
    <x v="0"/>
    <x v="0"/>
    <x v="2"/>
    <s v="N/A"/>
    <x v="6"/>
    <n v="9"/>
    <n v="7"/>
    <s v="N/A"/>
    <s v="N/A"/>
    <s v="New Ticket"/>
    <d v="2019-07-29T00:00:00"/>
    <x v="0"/>
    <m/>
    <m/>
    <m/>
    <m/>
  </r>
  <r>
    <n v="111297"/>
    <d v="2019-09-09T10:43:00"/>
    <s v="Issue With JourN/Al Import Via JourN/Al Wizard"/>
    <s v="Kimberly Jones"/>
    <s v="kjones@outlook.com"/>
    <x v="1"/>
    <x v="0"/>
    <x v="0"/>
    <x v="0"/>
    <x v="0"/>
    <d v="2019-09-26T16:52:00"/>
    <d v="2019-09-23T17:30:00"/>
    <x v="0"/>
    <x v="0"/>
    <x v="0"/>
    <s v="N/A"/>
    <x v="1"/>
    <n v="32"/>
    <n v="8"/>
    <s v="N/A"/>
    <s v="N/A"/>
    <s v="New Ticket"/>
    <d v="2019-09-12T00:00:00"/>
    <x v="0"/>
    <m/>
    <m/>
    <m/>
    <m/>
  </r>
  <r>
    <n v="111291"/>
    <d v="2019-08-28T09:17:00"/>
    <s v="Jde Prod Slowdown"/>
    <s v="Julius Wright"/>
    <s v="jwirght@outlook.com"/>
    <x v="1"/>
    <x v="0"/>
    <x v="0"/>
    <x v="0"/>
    <x v="0"/>
    <d v="2019-09-19T17:25:00"/>
    <s v="N/A"/>
    <x v="0"/>
    <x v="0"/>
    <x v="0"/>
    <s v="N/A"/>
    <x v="1"/>
    <n v="12"/>
    <n v="3"/>
    <s v="N/A"/>
    <s v="N/A"/>
    <s v="New Ticket"/>
    <d v="2019-09-02T00:00:00"/>
    <x v="0"/>
    <m/>
    <m/>
    <m/>
    <m/>
  </r>
  <r>
    <n v="111296"/>
    <d v="2019-09-03T10:26:00"/>
    <s v="Jde Prod Error In Validation Of Dv"/>
    <s v="Julius Wright"/>
    <s v="jwirght@outlook.com"/>
    <x v="1"/>
    <x v="0"/>
    <x v="0"/>
    <x v="0"/>
    <x v="0"/>
    <d v="2019-09-18T17:21:00"/>
    <d v="2019-09-13T17:00:00"/>
    <x v="0"/>
    <x v="0"/>
    <x v="0"/>
    <s v="N/A"/>
    <x v="1"/>
    <n v="19"/>
    <n v="1"/>
    <s v="N/A"/>
    <s v="N/A"/>
    <s v="New Ticket"/>
    <d v="2019-09-06T00:00:00"/>
    <x v="0"/>
    <m/>
    <m/>
    <m/>
    <m/>
  </r>
  <r>
    <n v="111299"/>
    <d v="2019-09-10T09:29:00"/>
    <s v="Jde Test: Error In Java Applet"/>
    <s v="Melody Thompson"/>
    <s v="mthompson@yahoo.com"/>
    <x v="1"/>
    <x v="0"/>
    <x v="0"/>
    <x v="0"/>
    <x v="0"/>
    <d v="2019-09-17T17:02:00"/>
    <d v="2019-09-10T21:29:00"/>
    <x v="0"/>
    <x v="0"/>
    <x v="0"/>
    <s v="N/A"/>
    <x v="1"/>
    <n v="7"/>
    <n v="1"/>
    <s v="N/A"/>
    <s v="N/A"/>
    <s v="Open"/>
    <d v="2019-09-13T00:00:00"/>
    <x v="0"/>
    <m/>
    <m/>
    <m/>
    <m/>
  </r>
  <r>
    <n v="111120"/>
    <d v="2019-02-06T09:43:00"/>
    <s v="[Sap] Term Activate A Student"/>
    <s v="Michelle Walters"/>
    <s v="michelle.walters@yahoo.com"/>
    <x v="1"/>
    <x v="0"/>
    <x v="0"/>
    <x v="0"/>
    <x v="0"/>
    <d v="2019-09-11T17:27:00"/>
    <s v="N/A"/>
    <x v="0"/>
    <x v="0"/>
    <x v="0"/>
    <s v="N/A"/>
    <x v="0"/>
    <n v="11"/>
    <n v="4"/>
    <s v="N/A"/>
    <s v="N/A"/>
    <s v="New Ticket"/>
    <d v="2019-02-11T00:00:00"/>
    <x v="0"/>
    <m/>
    <m/>
    <m/>
    <m/>
  </r>
  <r>
    <n v="111114"/>
    <d v="2019-02-01T10:12:00"/>
    <s v="Class Permission Of For 200-3 In Uplb"/>
    <s v="Jasper John"/>
    <s v="jasper.john@gmail.com"/>
    <x v="1"/>
    <x v="0"/>
    <x v="1"/>
    <x v="0"/>
    <x v="0"/>
    <d v="2019-09-11T17:27:00"/>
    <s v="N/A"/>
    <x v="0"/>
    <x v="0"/>
    <x v="0"/>
    <s v="N/A"/>
    <x v="0"/>
    <n v="41"/>
    <n v="5"/>
    <s v="N/A"/>
    <s v="N/A"/>
    <s v="New Ticket"/>
    <s v="No SLA for Request"/>
    <x v="1"/>
    <m/>
    <m/>
    <m/>
    <m/>
  </r>
  <r>
    <n v="111292"/>
    <d v="2019-08-28T11:46:00"/>
    <s v="Update The Landing Page"/>
    <s v="John Brown"/>
    <s v="jbrown@outlook.com"/>
    <x v="1"/>
    <x v="0"/>
    <x v="1"/>
    <x v="0"/>
    <x v="0"/>
    <d v="2019-09-11T17:19:00"/>
    <d v="2019-08-28T23:46:00"/>
    <x v="0"/>
    <x v="0"/>
    <x v="0"/>
    <s v="N/A"/>
    <x v="0"/>
    <n v="21"/>
    <n v="5"/>
    <s v="N/A"/>
    <s v="N/A"/>
    <s v="New Ticket"/>
    <s v="No SLA for Request"/>
    <x v="1"/>
    <m/>
    <m/>
    <m/>
    <m/>
  </r>
  <r>
    <n v="111286"/>
    <d v="2019-08-13T14:07:00"/>
    <s v="[Test Instance] Hung Concurrent Requests"/>
    <s v="Kimberly Jones"/>
    <s v="kjones@outlook.com"/>
    <x v="1"/>
    <x v="0"/>
    <x v="0"/>
    <x v="0"/>
    <x v="0"/>
    <d v="2019-09-02T17:20:00"/>
    <d v="2019-08-14T02:07:00"/>
    <x v="0"/>
    <x v="0"/>
    <x v="0"/>
    <s v="N/A"/>
    <x v="1"/>
    <n v="12"/>
    <n v="2"/>
    <s v="N/A"/>
    <s v="N/A"/>
    <s v="New Ticket"/>
    <d v="2019-08-16T00:00:00"/>
    <x v="0"/>
    <m/>
    <m/>
    <m/>
    <m/>
  </r>
  <r>
    <n v="111288"/>
    <d v="2019-08-20T09:12:00"/>
    <s v="Test Instance - License Expired"/>
    <s v="Wilson Campus"/>
    <s v="wilson.campus@yahoo.com"/>
    <x v="1"/>
    <x v="0"/>
    <x v="0"/>
    <x v="0"/>
    <x v="0"/>
    <d v="2019-08-29T17:04:00"/>
    <d v="2019-08-20T21:12:00"/>
    <x v="0"/>
    <x v="0"/>
    <x v="0"/>
    <s v="N/A"/>
    <x v="1"/>
    <n v="9"/>
    <n v="3"/>
    <s v="N/A"/>
    <s v="N/A"/>
    <s v="New Ticket"/>
    <d v="2019-08-23T00:00:00"/>
    <x v="0"/>
    <m/>
    <m/>
    <m/>
    <m/>
  </r>
  <r>
    <n v="111206"/>
    <d v="2019-05-21T15:13:00"/>
    <s v="Jde Prod Slowdown"/>
    <s v="Julius Wright"/>
    <s v="jwirght@outlook.com"/>
    <x v="1"/>
    <x v="0"/>
    <x v="0"/>
    <x v="0"/>
    <x v="0"/>
    <d v="2019-08-27T08:35:00"/>
    <d v="2019-05-22T03:13:00"/>
    <x v="0"/>
    <x v="0"/>
    <x v="0"/>
    <s v="N/A"/>
    <x v="1"/>
    <n v="46"/>
    <n v="3"/>
    <s v="N/A"/>
    <s v="N/A"/>
    <s v="New Ticket"/>
    <d v="2019-05-24T00:00:00"/>
    <x v="0"/>
    <m/>
    <m/>
    <m/>
    <m/>
  </r>
  <r>
    <n v="111201"/>
    <d v="2019-05-14T16:00:00"/>
    <s v="Expense Report Approval Hierarchy Issue"/>
    <s v="Reah Junes"/>
    <s v="rjunes@yahoo.com"/>
    <x v="1"/>
    <x v="0"/>
    <x v="0"/>
    <x v="0"/>
    <x v="0"/>
    <d v="2019-08-22T18:53:00"/>
    <d v="2019-08-19T17:00:00"/>
    <x v="0"/>
    <x v="0"/>
    <x v="0"/>
    <s v="N/A"/>
    <x v="1"/>
    <n v="20"/>
    <n v="3"/>
    <s v="N/A"/>
    <s v="N/A"/>
    <s v="New Ticket"/>
    <d v="2019-05-17T00:00:00"/>
    <x v="0"/>
    <m/>
    <m/>
    <m/>
    <m/>
  </r>
  <r>
    <n v="111284"/>
    <d v="2019-08-09T08:25:00"/>
    <s v="Can'T Access Odsm"/>
    <s v="Marvin Peters"/>
    <s v="mpeters@outlook.com"/>
    <x v="1"/>
    <x v="0"/>
    <x v="0"/>
    <x v="0"/>
    <x v="0"/>
    <d v="2019-08-20T17:04:00"/>
    <d v="2019-08-13T17:00:00"/>
    <x v="0"/>
    <x v="0"/>
    <x v="0"/>
    <s v="N/A"/>
    <x v="0"/>
    <n v="11"/>
    <n v="2"/>
    <s v="N/A"/>
    <s v="N/A"/>
    <s v="New Ticket"/>
    <d v="2019-08-14T00:00:00"/>
    <x v="0"/>
    <m/>
    <m/>
    <m/>
    <m/>
  </r>
  <r>
    <n v="111281"/>
    <d v="2019-08-02T14:46:00"/>
    <s v="Sap Production Slowdown"/>
    <s v="Aurora Miller"/>
    <s v="aurora.miller@outlook.com"/>
    <x v="1"/>
    <x v="0"/>
    <x v="0"/>
    <x v="0"/>
    <x v="0"/>
    <d v="2019-08-06T08:32:00"/>
    <s v="N/A"/>
    <x v="0"/>
    <x v="0"/>
    <x v="0"/>
    <s v="N/A"/>
    <x v="0"/>
    <n v="7"/>
    <n v="2"/>
    <s v="N/A"/>
    <s v="N/A"/>
    <s v="New Ticket"/>
    <d v="2019-08-07T00:00:00"/>
    <x v="2"/>
    <m/>
    <m/>
    <m/>
    <m/>
  </r>
  <r>
    <n v="111273"/>
    <d v="2019-07-28T16:08:00"/>
    <s v="Sql Error Message"/>
    <s v="Aurora Miller"/>
    <s v="aurora.miller@outlook.com"/>
    <x v="1"/>
    <x v="0"/>
    <x v="0"/>
    <x v="0"/>
    <x v="0"/>
    <d v="2019-08-06T08:32:00"/>
    <d v="2019-07-29T17:00:00"/>
    <x v="0"/>
    <x v="0"/>
    <x v="0"/>
    <s v="N/A"/>
    <x v="0"/>
    <n v="10"/>
    <n v="6"/>
    <s v="N/A"/>
    <s v="N/A"/>
    <s v="New Ticket"/>
    <d v="2019-07-31T00:00:00"/>
    <x v="0"/>
    <m/>
    <m/>
    <m/>
    <m/>
  </r>
  <r>
    <n v="111269"/>
    <d v="2019-07-23T11:06:00"/>
    <s v="Openvpn Problem"/>
    <s v="Wilson Campus"/>
    <s v="wilson.campus@yahoo.com"/>
    <x v="1"/>
    <x v="0"/>
    <x v="0"/>
    <x v="0"/>
    <x v="0"/>
    <d v="2019-07-29T17:39:00"/>
    <d v="2019-07-23T23:06:00"/>
    <x v="0"/>
    <x v="0"/>
    <x v="0"/>
    <s v="N/A"/>
    <x v="1"/>
    <n v="9"/>
    <n v="2"/>
    <s v="N/A"/>
    <s v="N/A"/>
    <s v="New Ticket"/>
    <d v="2019-07-26T00:00:00"/>
    <x v="0"/>
    <m/>
    <m/>
    <m/>
    <m/>
  </r>
  <r>
    <n v="111252"/>
    <d v="2019-07-08T15:56:00"/>
    <s v="MultiteN/Ant Error"/>
    <s v="Atom Short"/>
    <s v="atom.short@gmail.com"/>
    <x v="1"/>
    <x v="1"/>
    <x v="0"/>
    <x v="0"/>
    <x v="0"/>
    <d v="2019-07-18T17:31:00"/>
    <d v="2019-07-09T03:56:00"/>
    <x v="0"/>
    <x v="0"/>
    <x v="2"/>
    <s v="N/A"/>
    <x v="4"/>
    <n v="14"/>
    <n v="2"/>
    <s v="N/A"/>
    <s v="N/A"/>
    <s v="New Ticket"/>
    <d v="2019-07-11T00:00:00"/>
    <x v="0"/>
    <m/>
    <m/>
    <m/>
    <m/>
  </r>
  <r>
    <n v="111248"/>
    <d v="2019-07-04T15:42:00"/>
    <s v="Setup Of Earnings"/>
    <s v="Wilson Campus"/>
    <s v="wilson.campus@yahoo.com"/>
    <x v="1"/>
    <x v="0"/>
    <x v="0"/>
    <x v="0"/>
    <x v="0"/>
    <d v="2019-07-15T17:29:00"/>
    <d v="2019-07-10T17:00:00"/>
    <x v="0"/>
    <x v="0"/>
    <x v="0"/>
    <s v="N/A"/>
    <x v="1"/>
    <n v="9"/>
    <n v="2"/>
    <s v="N/A"/>
    <s v="N/A"/>
    <s v="New Ticket"/>
    <d v="2019-07-09T00:00:00"/>
    <x v="0"/>
    <m/>
    <m/>
    <m/>
    <m/>
  </r>
  <r>
    <n v="111247"/>
    <d v="2019-07-03T10:50:00"/>
    <s v="UN/Able To Tuition Calc For The Specific Student."/>
    <s v="Jasper John"/>
    <s v="jasper.john@gmail.com"/>
    <x v="1"/>
    <x v="0"/>
    <x v="0"/>
    <x v="0"/>
    <x v="0"/>
    <d v="2019-07-12T17:33:00"/>
    <d v="2019-07-03T22:50:00"/>
    <x v="0"/>
    <x v="0"/>
    <x v="0"/>
    <s v="N/A"/>
    <x v="0"/>
    <n v="8"/>
    <n v="2"/>
    <s v="N/A"/>
    <s v="N/A"/>
    <s v="Close Ticket"/>
    <d v="2019-07-08T00:00:00"/>
    <x v="0"/>
    <m/>
    <m/>
    <m/>
    <m/>
  </r>
  <r>
    <n v="111203"/>
    <d v="2019-05-15T14:18:00"/>
    <s v="Jde Prod - Error Status Of Transactions"/>
    <s v="Julius Wright"/>
    <s v="jwirght@outlook.com"/>
    <x v="1"/>
    <x v="0"/>
    <x v="0"/>
    <x v="0"/>
    <x v="0"/>
    <d v="2019-07-10T17:24:00"/>
    <d v="2019-05-16T02:18:00"/>
    <x v="0"/>
    <x v="0"/>
    <x v="0"/>
    <s v="N/A"/>
    <x v="1"/>
    <n v="9"/>
    <n v="2"/>
    <s v="N/A"/>
    <s v="N/A"/>
    <s v="New Ticket"/>
    <d v="2019-05-20T00:00:00"/>
    <x v="0"/>
    <m/>
    <m/>
    <m/>
    <m/>
  </r>
  <r>
    <n v="111180"/>
    <d v="2019-04-17T17:24:00"/>
    <s v="[Oaf] $Custom_Top Path"/>
    <s v="Winson Williams"/>
    <s v="winson.williams@outlook.com"/>
    <x v="1"/>
    <x v="0"/>
    <x v="1"/>
    <x v="0"/>
    <x v="0"/>
    <d v="2019-07-09T17:32:00"/>
    <d v="2019-04-18T05:24:00"/>
    <x v="0"/>
    <x v="0"/>
    <x v="0"/>
    <s v="N/A"/>
    <x v="1"/>
    <n v="15"/>
    <n v="1"/>
    <s v="N/A"/>
    <s v="N/A"/>
    <s v="New Ticket"/>
    <s v="No SLA for Request"/>
    <x v="1"/>
    <m/>
    <m/>
    <m/>
    <m/>
  </r>
  <r>
    <n v="111242"/>
    <d v="2019-06-27T16:37:00"/>
    <s v="Legal Case System Error"/>
    <s v="Sheila Ryder"/>
    <s v="sryder@mailiN/Ator.com"/>
    <x v="1"/>
    <x v="1"/>
    <x v="0"/>
    <x v="0"/>
    <x v="2"/>
    <d v="2019-07-05T10:10:00"/>
    <d v="2019-06-28T04:37:00"/>
    <x v="1"/>
    <x v="1"/>
    <x v="4"/>
    <s v="N/A"/>
    <x v="4"/>
    <n v="3"/>
    <n v="1"/>
    <s v="N/A"/>
    <s v="N/A"/>
    <s v="New Ticket"/>
    <d v="2019-07-02T00:00:00"/>
    <x v="0"/>
    <m/>
    <m/>
    <m/>
    <m/>
  </r>
  <r>
    <n v="111243"/>
    <d v="2019-06-27T17:01:00"/>
    <s v="Legal Case System - CrimiN/Al Case"/>
    <s v="Sheila Ryder"/>
    <s v="sryder@mailiN/Ator.com"/>
    <x v="1"/>
    <x v="1"/>
    <x v="0"/>
    <x v="0"/>
    <x v="2"/>
    <d v="2019-07-05T10:10:00"/>
    <d v="2019-06-28T05:01:00"/>
    <x v="1"/>
    <x v="1"/>
    <x v="0"/>
    <s v="N/A"/>
    <x v="4"/>
    <n v="3"/>
    <n v="0"/>
    <s v="N/A"/>
    <s v="N/A"/>
    <s v="New Ticket"/>
    <d v="2019-07-02T00:00:00"/>
    <x v="0"/>
    <m/>
    <m/>
    <m/>
    <m/>
  </r>
  <r>
    <n v="111240"/>
    <d v="2019-06-24T13:24:00"/>
    <s v="Vpn Access"/>
    <s v="Marvin Peters"/>
    <s v="mpeters@outlook.com"/>
    <x v="1"/>
    <x v="0"/>
    <x v="0"/>
    <x v="0"/>
    <x v="0"/>
    <d v="2019-07-01T17:33:00"/>
    <d v="2019-06-25T01:24:00"/>
    <x v="0"/>
    <x v="0"/>
    <x v="0"/>
    <s v="N/A"/>
    <x v="3"/>
    <n v="6"/>
    <n v="1"/>
    <s v="N/A"/>
    <s v="N/A"/>
    <s v="Close Ticket"/>
    <d v="2019-06-27T00:00:00"/>
    <x v="0"/>
    <m/>
    <m/>
    <m/>
    <m/>
  </r>
  <r>
    <n v="111146"/>
    <d v="2019-03-19T08:21:00"/>
    <s v="Jde Prod Slowdown"/>
    <s v="Julius Wright"/>
    <s v="jwirght@outlook.com"/>
    <x v="1"/>
    <x v="0"/>
    <x v="0"/>
    <x v="0"/>
    <x v="0"/>
    <d v="2019-07-01T17:23:00"/>
    <d v="2019-03-19T20:21:00"/>
    <x v="0"/>
    <x v="0"/>
    <x v="0"/>
    <s v="N/A"/>
    <x v="1"/>
    <n v="35"/>
    <n v="5"/>
    <s v="N/A"/>
    <s v="N/A"/>
    <s v="New Ticket"/>
    <d v="2019-03-22T00:00:00"/>
    <x v="0"/>
    <m/>
    <m/>
    <m/>
    <m/>
  </r>
  <r>
    <n v="111220"/>
    <d v="2019-05-31T13:19:00"/>
    <s v="Workflow Notification Won'T Start"/>
    <s v="Vic Vincent"/>
    <s v="vic.vincent@yahoo.com"/>
    <x v="1"/>
    <x v="0"/>
    <x v="0"/>
    <x v="0"/>
    <x v="0"/>
    <d v="2019-06-21T18:08:00"/>
    <d v="2019-06-10T17:00:00"/>
    <x v="0"/>
    <x v="0"/>
    <x v="2"/>
    <s v="N/A"/>
    <x v="0"/>
    <n v="17"/>
    <n v="1"/>
    <s v="N/A"/>
    <s v="N/A"/>
    <s v="New Ticket"/>
    <d v="2019-06-05T00:00:00"/>
    <x v="0"/>
    <m/>
    <m/>
    <m/>
    <m/>
  </r>
  <r>
    <n v="111224"/>
    <d v="2019-06-04T10:58:00"/>
    <s v="Salary Basis"/>
    <s v="Wilson Campus"/>
    <s v="wilson.campus@yahoo.com"/>
    <x v="1"/>
    <x v="0"/>
    <x v="0"/>
    <x v="0"/>
    <x v="0"/>
    <d v="2019-06-21T16:27:00"/>
    <d v="2019-06-10T17:15:00"/>
    <x v="0"/>
    <x v="0"/>
    <x v="0"/>
    <s v="N/A"/>
    <x v="1"/>
    <n v="8"/>
    <n v="3"/>
    <s v="N/A"/>
    <s v="N/A"/>
    <s v="New Ticket"/>
    <d v="2019-06-07T00:00:00"/>
    <x v="0"/>
    <m/>
    <m/>
    <m/>
    <m/>
  </r>
  <r>
    <n v="111216"/>
    <d v="2019-05-29T16:08:00"/>
    <s v="Cos Issue-Missing Remarks"/>
    <s v="Paul Jiggins"/>
    <s v="pjiggins@yahoo.com"/>
    <x v="1"/>
    <x v="0"/>
    <x v="0"/>
    <x v="0"/>
    <x v="0"/>
    <d v="2019-06-21T14:47:00"/>
    <d v="2019-06-20T18:15:00"/>
    <x v="0"/>
    <x v="0"/>
    <x v="0"/>
    <s v="N/A"/>
    <x v="1"/>
    <n v="14"/>
    <n v="3"/>
    <s v="N/A"/>
    <s v="N/A"/>
    <s v="New Ticket"/>
    <d v="2019-06-03T00:00:00"/>
    <x v="0"/>
    <m/>
    <m/>
    <m/>
    <m/>
  </r>
  <r>
    <n v="111221"/>
    <d v="2019-06-03T09:35:00"/>
    <s v="Cannot TermiN/Ate Assignment Of An Employee"/>
    <s v="Paul Jiggins"/>
    <s v="pjiggins@yahoo.com"/>
    <x v="1"/>
    <x v="0"/>
    <x v="0"/>
    <x v="0"/>
    <x v="0"/>
    <d v="2019-06-14T17:42:00"/>
    <d v="2019-06-13T18:30:00"/>
    <x v="0"/>
    <x v="0"/>
    <x v="0"/>
    <s v="N/A"/>
    <x v="1"/>
    <n v="15"/>
    <n v="6"/>
    <s v="N/A"/>
    <s v="N/A"/>
    <s v="New Ticket"/>
    <d v="2019-06-06T00:00:00"/>
    <x v="0"/>
    <m/>
    <m/>
    <m/>
    <m/>
  </r>
  <r>
    <n v="111217"/>
    <d v="2019-05-29T16:18:00"/>
    <s v="Cos Issue-Application Error Encountered"/>
    <s v="Paul Jiggins"/>
    <s v="pjiggins@yahoo.com"/>
    <x v="1"/>
    <x v="0"/>
    <x v="0"/>
    <x v="0"/>
    <x v="0"/>
    <d v="2019-06-14T14:02:00"/>
    <d v="2019-06-10T17:00:00"/>
    <x v="0"/>
    <x v="0"/>
    <x v="0"/>
    <s v="N/A"/>
    <x v="1"/>
    <n v="8"/>
    <n v="3"/>
    <s v="N/A"/>
    <s v="N/A"/>
    <s v="New Ticket"/>
    <d v="2019-06-03T00:00:00"/>
    <x v="0"/>
    <m/>
    <m/>
    <m/>
    <m/>
  </r>
  <r>
    <n v="111193"/>
    <d v="2019-05-06T09:24:00"/>
    <s v="Application Cache Stock On Queued"/>
    <s v="Aurora Miller"/>
    <s v="aurora.miller@outlook.com"/>
    <x v="1"/>
    <x v="0"/>
    <x v="0"/>
    <x v="0"/>
    <x v="0"/>
    <d v="2019-06-07T17:37:00"/>
    <d v="2019-05-06T21:24:00"/>
    <x v="0"/>
    <x v="0"/>
    <x v="0"/>
    <s v="N/A"/>
    <x v="0"/>
    <n v="11"/>
    <n v="4"/>
    <s v="N/A"/>
    <s v="N/A"/>
    <s v="Close Ticket"/>
    <d v="2019-05-09T00:00:00"/>
    <x v="0"/>
    <m/>
    <m/>
    <m/>
    <m/>
  </r>
  <r>
    <n v="111183"/>
    <d v="2019-04-22T12:57:00"/>
    <s v="Jde Prod - Timeout Expense Report"/>
    <s v="Julius Wright"/>
    <s v="jwirght@outlook.com"/>
    <x v="1"/>
    <x v="0"/>
    <x v="0"/>
    <x v="0"/>
    <x v="0"/>
    <d v="2019-06-04T17:15:00"/>
    <d v="2019-04-23T00:57:00"/>
    <x v="0"/>
    <x v="0"/>
    <x v="0"/>
    <s v="N/A"/>
    <x v="1"/>
    <n v="61"/>
    <n v="11"/>
    <s v="N/A"/>
    <s v="N/A"/>
    <s v="Close Ticket"/>
    <d v="2019-04-25T00:00:00"/>
    <x v="0"/>
    <m/>
    <m/>
    <m/>
    <m/>
  </r>
  <r>
    <n v="111198"/>
    <d v="2019-05-10T09:27:00"/>
    <s v="Transactions Are Being Deferred"/>
    <s v="Reah Junes"/>
    <s v="rjunes@yahoo.com"/>
    <x v="1"/>
    <x v="0"/>
    <x v="0"/>
    <x v="0"/>
    <x v="0"/>
    <d v="2019-06-03T17:29:00"/>
    <d v="2019-05-10T21:27:00"/>
    <x v="0"/>
    <x v="0"/>
    <x v="0"/>
    <s v="N/A"/>
    <x v="1"/>
    <n v="13"/>
    <n v="2"/>
    <s v="N/A"/>
    <s v="N/A"/>
    <s v="New Ticket"/>
    <d v="2019-05-15T00:00:00"/>
    <x v="0"/>
    <m/>
    <m/>
    <m/>
    <m/>
  </r>
  <r>
    <n v="111199"/>
    <d v="2019-05-14T09:41:00"/>
    <s v="Dev Server UN/Able To Boot Up"/>
    <s v="John Brown"/>
    <s v="jbrown@outlook.com"/>
    <x v="1"/>
    <x v="0"/>
    <x v="0"/>
    <x v="0"/>
    <x v="0"/>
    <d v="2019-05-29T16:59:00"/>
    <d v="2019-05-14T21:41:00"/>
    <x v="0"/>
    <x v="0"/>
    <x v="0"/>
    <s v="N/A"/>
    <x v="0"/>
    <n v="11"/>
    <n v="3"/>
    <s v="N/A"/>
    <s v="N/A"/>
    <s v="New Ticket"/>
    <d v="2019-05-17T00:00:00"/>
    <x v="0"/>
    <m/>
    <m/>
    <m/>
    <m/>
  </r>
  <r>
    <n v="111194"/>
    <d v="2019-05-06T16:49:00"/>
    <s v="Jde Prod - Requests Not Completing"/>
    <s v="Julius Wright"/>
    <s v="jwirght@outlook.com"/>
    <x v="1"/>
    <x v="0"/>
    <x v="0"/>
    <x v="0"/>
    <x v="0"/>
    <d v="2019-05-14T19:47:00"/>
    <d v="2019-05-07T04:49:00"/>
    <x v="0"/>
    <x v="0"/>
    <x v="0"/>
    <s v="N/A"/>
    <x v="1"/>
    <n v="26"/>
    <n v="5"/>
    <s v="N/A"/>
    <s v="N/A"/>
    <s v="New Ticket"/>
    <d v="2019-05-09T00:00:00"/>
    <x v="0"/>
    <m/>
    <m/>
    <m/>
    <m/>
  </r>
  <r>
    <n v="111187"/>
    <d v="2019-04-29T08:33:00"/>
    <s v="Jde Prod - Slowdown Access"/>
    <s v="Julius Wright"/>
    <s v="jwirght@outlook.com"/>
    <x v="1"/>
    <x v="0"/>
    <x v="0"/>
    <x v="0"/>
    <x v="0"/>
    <d v="2019-05-10T17:31:00"/>
    <d v="2019-04-29T20:33:00"/>
    <x v="0"/>
    <x v="0"/>
    <x v="0"/>
    <s v="N/A"/>
    <x v="1"/>
    <n v="10"/>
    <n v="2"/>
    <s v="N/A"/>
    <s v="N/A"/>
    <s v="New Ticket"/>
    <d v="2019-05-02T00:00:00"/>
    <x v="0"/>
    <m/>
    <m/>
    <m/>
    <m/>
  </r>
  <r>
    <n v="111182"/>
    <d v="2019-04-22T11:22:00"/>
    <s v="Upou Cannot Print Saln"/>
    <s v="Vic Vincent"/>
    <s v="vic.vincent@yahoo.com"/>
    <x v="1"/>
    <x v="0"/>
    <x v="0"/>
    <x v="1"/>
    <x v="0"/>
    <d v="2019-05-08T17:18:00"/>
    <d v="2019-04-22T23:22:00"/>
    <x v="0"/>
    <x v="0"/>
    <x v="0"/>
    <s v="N/A"/>
    <x v="1"/>
    <n v="9"/>
    <n v="4"/>
    <s v="N/A"/>
    <s v="N/A"/>
    <s v="New Ticket"/>
    <d v="2019-04-25T00:00:00"/>
    <x v="0"/>
    <m/>
    <m/>
    <m/>
    <m/>
  </r>
  <r>
    <n v="111185"/>
    <d v="2019-04-25T11:42:00"/>
    <s v="Jde Prod - Error In Updating Ame Setup"/>
    <s v="Julius Wright"/>
    <s v="jwirght@outlook.com"/>
    <x v="1"/>
    <x v="0"/>
    <x v="0"/>
    <x v="0"/>
    <x v="0"/>
    <d v="2019-05-06T17:55:00"/>
    <d v="2019-04-25T23:42:00"/>
    <x v="0"/>
    <x v="0"/>
    <x v="0"/>
    <s v="N/A"/>
    <x v="1"/>
    <n v="11"/>
    <n v="5"/>
    <s v="N/A"/>
    <s v="N/A"/>
    <s v="Close Ticket"/>
    <d v="2019-04-30T00:00:00"/>
    <x v="0"/>
    <m/>
    <m/>
    <m/>
    <m/>
  </r>
  <r>
    <n v="111157"/>
    <d v="2019-03-28T08:25:00"/>
    <s v="UN/Able To Log In To Jde Prod"/>
    <s v="Julius Wright"/>
    <s v="jwirght@outlook.com"/>
    <x v="1"/>
    <x v="0"/>
    <x v="0"/>
    <x v="0"/>
    <x v="0"/>
    <d v="2019-04-30T09:53:00"/>
    <d v="2019-03-28T20:25:00"/>
    <x v="0"/>
    <x v="0"/>
    <x v="0"/>
    <s v="N/A"/>
    <x v="1"/>
    <n v="21"/>
    <n v="3"/>
    <s v="N/A"/>
    <s v="N/A"/>
    <s v="New Ticket"/>
    <d v="2019-04-02T00:00:00"/>
    <x v="0"/>
    <m/>
    <m/>
    <m/>
    <m/>
  </r>
  <r>
    <n v="111152"/>
    <d v="2019-03-20T13:28:00"/>
    <s v="Deferred Internet Expenses"/>
    <s v="Julius Wright"/>
    <s v="jwirght@outlook.com"/>
    <x v="1"/>
    <x v="0"/>
    <x v="0"/>
    <x v="0"/>
    <x v="0"/>
    <d v="2019-04-10T18:16:00"/>
    <d v="2019-03-21T01:28:00"/>
    <x v="0"/>
    <x v="0"/>
    <x v="0"/>
    <s v="N/A"/>
    <x v="1"/>
    <n v="25"/>
    <n v="1"/>
    <s v="N/A"/>
    <s v="N/A"/>
    <s v="Close Ticket"/>
    <d v="2019-03-25T00:00:00"/>
    <x v="0"/>
    <m/>
    <m/>
    <m/>
    <m/>
  </r>
  <r>
    <n v="111151"/>
    <d v="2019-03-20T13:26:00"/>
    <s v="Deferred Purchase Order Approvals"/>
    <s v="Reah Junes"/>
    <s v="rjunes@yahoo.com"/>
    <x v="1"/>
    <x v="0"/>
    <x v="0"/>
    <x v="0"/>
    <x v="0"/>
    <d v="2019-04-10T17:59:00"/>
    <d v="2019-03-21T01:26:00"/>
    <x v="0"/>
    <x v="0"/>
    <x v="0"/>
    <s v="N/A"/>
    <x v="1"/>
    <n v="33"/>
    <n v="9"/>
    <s v="N/A"/>
    <s v="N/A"/>
    <s v="New Ticket"/>
    <d v="2019-03-25T00:00:00"/>
    <x v="0"/>
    <m/>
    <m/>
    <m/>
    <m/>
  </r>
  <r>
    <n v="111149"/>
    <d v="2019-03-20T11:44:00"/>
    <s v="Deferred Reqjdeition Approvals"/>
    <s v="Reah Junes"/>
    <s v="rjunes@yahoo.com"/>
    <x v="1"/>
    <x v="0"/>
    <x v="0"/>
    <x v="0"/>
    <x v="0"/>
    <d v="2019-04-10T17:59:00"/>
    <d v="2019-03-20T23:44:00"/>
    <x v="0"/>
    <x v="0"/>
    <x v="0"/>
    <s v="N/A"/>
    <x v="1"/>
    <n v="6"/>
    <n v="2"/>
    <s v="N/A"/>
    <s v="N/A"/>
    <s v="New Ticket"/>
    <d v="2019-03-25T00:00:00"/>
    <x v="0"/>
    <m/>
    <m/>
    <m/>
    <m/>
  </r>
  <r>
    <n v="111121"/>
    <d v="2019-02-06T15:18:00"/>
    <s v="Missing Spms Pmp 2016, 2017 And 2018"/>
    <s v="Vic Vincent"/>
    <s v="vic.vincent@yahoo.com"/>
    <x v="1"/>
    <x v="0"/>
    <x v="0"/>
    <x v="1"/>
    <x v="0"/>
    <d v="2019-04-04T17:29:00"/>
    <d v="2021-08-07T03:18:00"/>
    <x v="0"/>
    <x v="0"/>
    <x v="0"/>
    <s v="N/A"/>
    <x v="1"/>
    <n v="18"/>
    <n v="3"/>
    <s v="N/A"/>
    <s v="N/A"/>
    <s v="New Ticket"/>
    <d v="2019-02-11T00:00:00"/>
    <x v="0"/>
    <m/>
    <m/>
    <m/>
    <m/>
  </r>
  <r>
    <n v="111162"/>
    <d v="2019-04-01T11:21:00"/>
    <s v="Sap Dev Instance Can’T Be Reached"/>
    <s v="John Brown"/>
    <s v="jbrown@outlook.com"/>
    <x v="1"/>
    <x v="0"/>
    <x v="0"/>
    <x v="0"/>
    <x v="0"/>
    <d v="2019-04-03T18:07:00"/>
    <d v="2019-04-01T23:21:00"/>
    <x v="0"/>
    <x v="0"/>
    <x v="0"/>
    <s v="N/A"/>
    <x v="0"/>
    <n v="11"/>
    <n v="2"/>
    <s v="N/A"/>
    <s v="N/A"/>
    <s v="New Ticket"/>
    <d v="2019-04-04T00:00:00"/>
    <x v="2"/>
    <m/>
    <m/>
    <m/>
    <m/>
  </r>
  <r>
    <n v="111158"/>
    <d v="2019-03-28T10:23:00"/>
    <s v="Maximum Number Of Session Exceeded And Page Error"/>
    <s v="John Brown"/>
    <s v="jbrown@outlook.com"/>
    <x v="1"/>
    <x v="0"/>
    <x v="0"/>
    <x v="0"/>
    <x v="0"/>
    <d v="2019-04-01T17:44:00"/>
    <d v="2019-03-28T22:23:00"/>
    <x v="0"/>
    <x v="0"/>
    <x v="0"/>
    <s v="N/A"/>
    <x v="0"/>
    <n v="12"/>
    <n v="1"/>
    <s v="N/A"/>
    <s v="N/A"/>
    <s v="New Ticket"/>
    <d v="2019-04-02T00:00:00"/>
    <x v="2"/>
    <m/>
    <m/>
    <m/>
    <m/>
  </r>
  <r>
    <n v="111143"/>
    <d v="2019-03-12T15:32:00"/>
    <s v="Jde Prod Slowdown"/>
    <s v="Julius Wright"/>
    <s v="jwirght@outlook.com"/>
    <x v="1"/>
    <x v="0"/>
    <x v="0"/>
    <x v="0"/>
    <x v="0"/>
    <d v="2019-03-28T17:40:00"/>
    <d v="2019-03-13T03:32:00"/>
    <x v="0"/>
    <x v="0"/>
    <x v="0"/>
    <s v="N/A"/>
    <x v="1"/>
    <n v="7"/>
    <n v="2"/>
    <s v="N/A"/>
    <s v="N/A"/>
    <s v="New Ticket"/>
    <d v="2019-03-15T00:00:00"/>
    <x v="0"/>
    <m/>
    <m/>
    <m/>
    <m/>
  </r>
  <r>
    <n v="111122"/>
    <d v="2019-02-06T16:24:00"/>
    <s v="Error In Submitting Updated Approved Pos"/>
    <s v="Reah Junes"/>
    <s v="rjunes@yahoo.com"/>
    <x v="1"/>
    <x v="0"/>
    <x v="0"/>
    <x v="0"/>
    <x v="0"/>
    <d v="2019-03-22T18:39:00"/>
    <s v="N/A"/>
    <x v="0"/>
    <x v="0"/>
    <x v="0"/>
    <s v="N/A"/>
    <x v="1"/>
    <n v="116"/>
    <n v="37"/>
    <s v="N/A"/>
    <s v="N/A"/>
    <s v="New Ticket"/>
    <d v="2019-02-11T00:00:00"/>
    <x v="0"/>
    <m/>
    <m/>
    <m/>
    <m/>
  </r>
  <r>
    <n v="111138"/>
    <d v="2019-02-27T10:33:00"/>
    <s v="UN/Able To Add Attachment In The Invoice"/>
    <s v="Julius Wright"/>
    <s v="jwirght@outlook.com"/>
    <x v="1"/>
    <x v="0"/>
    <x v="0"/>
    <x v="0"/>
    <x v="0"/>
    <d v="2019-03-20T17:15:00"/>
    <d v="2019-02-27T22:33:00"/>
    <x v="0"/>
    <x v="0"/>
    <x v="0"/>
    <s v="N/A"/>
    <x v="1"/>
    <n v="9"/>
    <n v="1"/>
    <s v="N/A"/>
    <s v="N/A"/>
    <s v="New Ticket"/>
    <d v="2019-03-04T00:00:00"/>
    <x v="0"/>
    <m/>
    <m/>
    <m/>
    <m/>
  </r>
  <r>
    <n v="111131"/>
    <d v="2019-02-19T11:15:00"/>
    <s v="Auto Approve Salary"/>
    <s v="Reah Junes"/>
    <s v="rjunes@yahoo.com"/>
    <x v="1"/>
    <x v="0"/>
    <x v="0"/>
    <x v="0"/>
    <x v="0"/>
    <d v="2019-03-18T18:13:00"/>
    <d v="2019-02-19T23:15:00"/>
    <x v="0"/>
    <x v="0"/>
    <x v="0"/>
    <s v="N/A"/>
    <x v="1"/>
    <n v="8"/>
    <n v="1"/>
    <s v="N/A"/>
    <s v="N/A"/>
    <s v="New Ticket"/>
    <d v="2019-02-22T00:00:00"/>
    <x v="0"/>
    <m/>
    <m/>
    <m/>
    <m/>
  </r>
  <r>
    <n v="111116"/>
    <d v="2019-02-01T11:59:00"/>
    <s v="Approval Notification Not Forwarding"/>
    <s v="Reah Junes"/>
    <s v="rjunes@yahoo.com"/>
    <x v="1"/>
    <x v="0"/>
    <x v="0"/>
    <x v="0"/>
    <x v="0"/>
    <d v="2019-03-05T18:07:00"/>
    <d v="2019-02-01T23:59:00"/>
    <x v="0"/>
    <x v="0"/>
    <x v="0"/>
    <s v="N/A"/>
    <x v="1"/>
    <n v="8"/>
    <n v="4"/>
    <s v="N/A"/>
    <s v="N/A"/>
    <s v="New Ticket"/>
    <d v="2019-02-06T00:00:00"/>
    <x v="0"/>
    <m/>
    <m/>
    <m/>
    <m/>
  </r>
  <r>
    <n v="111133"/>
    <d v="2019-02-19T15:52:00"/>
    <s v="Error In Submission Of Ppmp"/>
    <s v="Julius Wright"/>
    <s v="jwirght@outlook.com"/>
    <x v="1"/>
    <x v="0"/>
    <x v="0"/>
    <x v="0"/>
    <x v="0"/>
    <d v="2019-03-05T18:04:00"/>
    <d v="2019-02-20T03:52:00"/>
    <x v="0"/>
    <x v="0"/>
    <x v="0"/>
    <s v="N/A"/>
    <x v="1"/>
    <n v="7"/>
    <n v="1"/>
    <s v="N/A"/>
    <s v="N/A"/>
    <s v="New Ticket"/>
    <d v="2019-02-22T00:00:00"/>
    <x v="0"/>
    <m/>
    <m/>
    <m/>
    <m/>
  </r>
  <r>
    <n v="111129"/>
    <d v="2019-02-18T09:52:00"/>
    <s v="Total Unit Passed"/>
    <s v="Jasper John"/>
    <s v="jasper.john@gmail.com"/>
    <x v="1"/>
    <x v="0"/>
    <x v="0"/>
    <x v="0"/>
    <x v="0"/>
    <d v="2019-03-02T09:36:00"/>
    <d v="2019-02-18T21:52:00"/>
    <x v="0"/>
    <x v="0"/>
    <x v="0"/>
    <s v="N/A"/>
    <x v="0"/>
    <n v="7"/>
    <n v="6"/>
    <s v="N/A"/>
    <s v="N/A"/>
    <s v="New Ticket"/>
    <d v="2019-02-21T00:00:00"/>
    <x v="0"/>
    <m/>
    <m/>
    <m/>
    <m/>
  </r>
  <r>
    <n v="111123"/>
    <d v="2019-02-07T10:23:00"/>
    <s v="Cannot Access / Incorrect Data On Log In Page"/>
    <s v="Kimberly Jones"/>
    <s v="kjones@outlook.com"/>
    <x v="1"/>
    <x v="0"/>
    <x v="0"/>
    <x v="0"/>
    <x v="0"/>
    <d v="2019-02-20T16:21:00"/>
    <d v="2019-02-07T22:23:00"/>
    <x v="0"/>
    <x v="0"/>
    <x v="5"/>
    <s v="N/A"/>
    <x v="1"/>
    <n v="6"/>
    <n v="1"/>
    <s v="N/A"/>
    <s v="N/A"/>
    <s v="New Ticket"/>
    <d v="2019-02-12T00:00:00"/>
    <x v="0"/>
    <m/>
    <m/>
    <m/>
    <m/>
  </r>
  <r>
    <n v="111115"/>
    <d v="2019-02-01T10:15:00"/>
    <s v="Dev Instance | Record View Issue"/>
    <s v="John Brown"/>
    <s v="jbrown@outlook.com"/>
    <x v="1"/>
    <x v="0"/>
    <x v="0"/>
    <x v="0"/>
    <x v="0"/>
    <d v="2019-02-14T14:52:00"/>
    <d v="2019-02-01T22:15:00"/>
    <x v="0"/>
    <x v="0"/>
    <x v="5"/>
    <s v="N/A"/>
    <x v="0"/>
    <n v="14"/>
    <n v="5"/>
    <s v="N/A"/>
    <s v="N/A"/>
    <s v="New Ticket"/>
    <d v="2019-02-06T00:00:00"/>
    <x v="0"/>
    <m/>
    <m/>
    <m/>
    <m/>
  </r>
  <r>
    <n v="111656"/>
    <d v="2021-03-31T10:32:00"/>
    <s v="Cannot Access Jde-Sit In Mac"/>
    <s v="Melody Thompson"/>
    <s v="mthompson@yahoo.com"/>
    <x v="2"/>
    <x v="0"/>
    <x v="0"/>
    <x v="0"/>
    <x v="2"/>
    <d v="2021-04-12T09:15:00"/>
    <d v="2023-09-29T22:32:00"/>
    <x v="0"/>
    <x v="1"/>
    <x v="1"/>
    <s v="N/A"/>
    <x v="1"/>
    <n v="3"/>
    <n v="1"/>
    <s v="NON-PROD"/>
    <s v="TEST"/>
    <s v="Close Ticket"/>
    <d v="2021-04-07T00:00:00"/>
    <x v="0"/>
    <m/>
    <m/>
    <m/>
    <m/>
  </r>
  <r>
    <n v="111624"/>
    <d v="2021-02-24T08:31:00"/>
    <s v="Employee Legislative Information - Mismatch"/>
    <s v="Troy Daniels"/>
    <s v="troy.daniels@outlook.com"/>
    <x v="2"/>
    <x v="0"/>
    <x v="0"/>
    <x v="0"/>
    <x v="2"/>
    <d v="2021-04-08T11:24:00"/>
    <d v="2023-08-25T20:31:00"/>
    <x v="0"/>
    <x v="0"/>
    <x v="1"/>
    <s v="N/A"/>
    <x v="1"/>
    <n v="17"/>
    <n v="4"/>
    <s v="PROD"/>
    <s v="PRODUCTION"/>
    <s v="New Ticket"/>
    <d v="2021-03-03T00:00:00"/>
    <x v="0"/>
    <m/>
    <m/>
    <m/>
    <m/>
  </r>
  <r>
    <n v="111660"/>
    <d v="2021-04-08T08:40:00"/>
    <s v="Cannot Open Attachment In Jde Sit"/>
    <s v="Erick White"/>
    <s v="ewhite@yahoo.com"/>
    <x v="2"/>
    <x v="0"/>
    <x v="0"/>
    <x v="0"/>
    <x v="2"/>
    <d v="2021-04-08T08:40:00"/>
    <d v="2023-10-07T20:40:00"/>
    <x v="0"/>
    <x v="0"/>
    <x v="1"/>
    <s v="N/A"/>
    <x v="1"/>
    <n v="3"/>
    <n v="0"/>
    <s v="NON-PROD"/>
    <s v="TEST"/>
    <s v="New Ticket"/>
    <d v="2021-04-15T00:00:00"/>
    <x v="2"/>
    <m/>
    <m/>
    <m/>
    <m/>
  </r>
  <r>
    <n v="111560"/>
    <d v="2020-11-19T12:18:00"/>
    <s v="Stuck Pr And Ppmp Approval"/>
    <s v="Riza Richardson"/>
    <s v="rrichardson@mailiN/Ator.com"/>
    <x v="2"/>
    <x v="0"/>
    <x v="0"/>
    <x v="0"/>
    <x v="0"/>
    <d v="2021-04-07T17:34:00"/>
    <d v="2020-11-24T12:18:00"/>
    <x v="0"/>
    <x v="0"/>
    <x v="0"/>
    <s v="N/A"/>
    <x v="1"/>
    <n v="41"/>
    <n v="8"/>
    <s v="PROD"/>
    <s v="PRODUCTION"/>
    <s v="Close Ticket"/>
    <d v="2020-11-26T00:00:00"/>
    <x v="0"/>
    <m/>
    <m/>
    <m/>
    <m/>
  </r>
  <r>
    <n v="111659"/>
    <d v="2021-04-07T13:16:00"/>
    <s v="How To Run Sql Package"/>
    <s v="Melody Thompson"/>
    <s v="mthompson@yahoo.com"/>
    <x v="2"/>
    <x v="0"/>
    <x v="1"/>
    <x v="0"/>
    <x v="2"/>
    <d v="2021-04-07T16:42:00"/>
    <d v="2023-10-07T01:16:00"/>
    <x v="0"/>
    <x v="0"/>
    <x v="5"/>
    <s v="N/A"/>
    <x v="1"/>
    <n v="5"/>
    <n v="1"/>
    <s v="PROD"/>
    <s v="PRODUCTION"/>
    <s v="New Ticket"/>
    <s v="No SLA for Request"/>
    <x v="1"/>
    <m/>
    <m/>
    <m/>
    <m/>
  </r>
  <r>
    <n v="111657"/>
    <d v="2021-04-05T16:22:00"/>
    <s v="Display Footer On Generated Report."/>
    <s v="Marvin Peters"/>
    <s v="mpeters@outlook.com"/>
    <x v="2"/>
    <x v="0"/>
    <x v="1"/>
    <x v="0"/>
    <x v="2"/>
    <d v="2021-04-07T16:34:00"/>
    <d v="2023-10-05T04:22:00"/>
    <x v="0"/>
    <x v="1"/>
    <x v="5"/>
    <s v="N/A"/>
    <x v="0"/>
    <n v="4"/>
    <n v="1"/>
    <s v="NON-PROD"/>
    <s v="TEST"/>
    <s v="New Ticket"/>
    <s v="No SLA for Request"/>
    <x v="1"/>
    <m/>
    <m/>
    <m/>
    <m/>
  </r>
  <r>
    <n v="111420"/>
    <d v="2020-05-05T02:18:00"/>
    <s v="Deferred Po Transactions"/>
    <s v="Riza Richardson"/>
    <s v="rrichardson@mailiN/Ator.com"/>
    <x v="2"/>
    <x v="0"/>
    <x v="0"/>
    <x v="0"/>
    <x v="2"/>
    <d v="2021-04-07T14:53:00"/>
    <d v="2020-05-10T02:18:00"/>
    <x v="1"/>
    <x v="1"/>
    <x v="5"/>
    <s v="N/A"/>
    <x v="1"/>
    <n v="179"/>
    <n v="43"/>
    <s v="PROD"/>
    <s v="PRODUCTION"/>
    <s v="New Ticket"/>
    <d v="2020-05-12T00:00:00"/>
    <x v="0"/>
    <m/>
    <m/>
    <m/>
    <m/>
  </r>
  <r>
    <n v="111650"/>
    <d v="2021-03-24T15:13:00"/>
    <s v="Bee Spreadsheet Issue"/>
    <s v="Melody Thompson"/>
    <s v="mthompson@yahoo.com"/>
    <x v="2"/>
    <x v="0"/>
    <x v="0"/>
    <x v="0"/>
    <x v="1"/>
    <d v="2021-04-07T14:09:00"/>
    <d v="2023-09-23T03:13:00"/>
    <x v="0"/>
    <x v="0"/>
    <x v="5"/>
    <s v="N/A"/>
    <x v="1"/>
    <n v="6"/>
    <n v="3"/>
    <s v="PROD"/>
    <s v="PRODUCTION"/>
    <s v="New Ticket"/>
    <d v="2021-03-31T00:00:00"/>
    <x v="0"/>
    <m/>
    <m/>
    <m/>
    <m/>
  </r>
  <r>
    <n v="111643"/>
    <d v="2021-03-18T14:18:00"/>
    <s v="How To Prevent Our Api To Sql Injection"/>
    <s v="Aurora Miller"/>
    <s v="aurora.miller@outlook.com"/>
    <x v="2"/>
    <x v="0"/>
    <x v="1"/>
    <x v="0"/>
    <x v="2"/>
    <d v="2021-04-07T12:33:00"/>
    <d v="2023-09-17T02:18:00"/>
    <x v="0"/>
    <x v="1"/>
    <x v="5"/>
    <s v="N/A"/>
    <x v="0"/>
    <n v="7"/>
    <n v="0"/>
    <s v="NON-PROD"/>
    <s v="DEVELOPMENT"/>
    <s v="New Ticket"/>
    <s v="No SLA for Request"/>
    <x v="1"/>
    <m/>
    <m/>
    <m/>
    <m/>
  </r>
  <r>
    <n v="111630"/>
    <d v="2021-03-05T12:34:00"/>
    <s v="Jde Payables Upmin Attachment"/>
    <s v="Erick White"/>
    <s v="ewhite@yahoo.com"/>
    <x v="2"/>
    <x v="0"/>
    <x v="0"/>
    <x v="0"/>
    <x v="2"/>
    <d v="2021-04-07T08:39:00"/>
    <d v="2021-03-06T00:34:00"/>
    <x v="1"/>
    <x v="1"/>
    <x v="5"/>
    <s v="N/A"/>
    <x v="1"/>
    <n v="8"/>
    <n v="2"/>
    <s v="PROD"/>
    <s v="PRODUCTION"/>
    <s v="New Ticket"/>
    <d v="2021-03-12T00:00:00"/>
    <x v="0"/>
    <m/>
    <m/>
    <m/>
    <m/>
  </r>
  <r>
    <n v="111655"/>
    <d v="2021-03-29T16:18:00"/>
    <s v="Optimize The Created Query."/>
    <s v="Marvin Peters"/>
    <s v="mpeters@outlook.com"/>
    <x v="2"/>
    <x v="0"/>
    <x v="1"/>
    <x v="0"/>
    <x v="2"/>
    <d v="2021-04-06T16:31:00"/>
    <d v="2023-09-28T04:18:00"/>
    <x v="0"/>
    <x v="0"/>
    <x v="5"/>
    <s v="N/A"/>
    <x v="0"/>
    <n v="7"/>
    <n v="0"/>
    <s v="PROD"/>
    <s v="PRODUCTION"/>
    <s v="New Ticket"/>
    <s v="No SLA for Request"/>
    <x v="1"/>
    <m/>
    <m/>
    <m/>
    <m/>
  </r>
  <r>
    <n v="111658"/>
    <d v="2021-04-06T15:28:00"/>
    <s v="Creation Of User For Integration Broker Permission"/>
    <s v="Aurora Miller"/>
    <s v="aurora.miller@outlook.com"/>
    <x v="2"/>
    <x v="0"/>
    <x v="0"/>
    <x v="0"/>
    <x v="2"/>
    <d v="2021-04-06T15:28:00"/>
    <d v="2023-10-06T03:28:00"/>
    <x v="0"/>
    <x v="1"/>
    <x v="5"/>
    <s v="N/A"/>
    <x v="0"/>
    <n v="2"/>
    <n v="0"/>
    <s v="NON-PROD"/>
    <s v="DEVELOPMENT"/>
    <s v="New Ticket"/>
    <d v="2021-04-13T00:00:00"/>
    <x v="2"/>
    <m/>
    <m/>
    <m/>
    <m/>
  </r>
  <r>
    <n v="111639"/>
    <d v="2021-03-17T13:35:00"/>
    <s v="Appraisal Issue"/>
    <s v="Jane Wilberts"/>
    <s v="jwilberts@mailiN/Ator.com"/>
    <x v="2"/>
    <x v="0"/>
    <x v="0"/>
    <x v="0"/>
    <x v="2"/>
    <d v="2021-04-06T14:21:00"/>
    <d v="2023-09-16T01:35:00"/>
    <x v="0"/>
    <x v="0"/>
    <x v="5"/>
    <s v="N/A"/>
    <x v="1"/>
    <n v="8"/>
    <n v="4"/>
    <s v="PROD"/>
    <s v="TEST"/>
    <s v="New Ticket"/>
    <d v="2021-03-24T00:00:00"/>
    <x v="0"/>
    <m/>
    <m/>
    <m/>
    <m/>
  </r>
  <r>
    <n v="111602"/>
    <d v="2021-01-28T18:31:00"/>
    <s v="Past Due Balance Posted In Student Center"/>
    <s v="Marvin Peters"/>
    <s v="mpeters@outlook.com"/>
    <x v="2"/>
    <x v="0"/>
    <x v="1"/>
    <x v="0"/>
    <x v="1"/>
    <d v="2021-04-06T13:22:00"/>
    <d v="2021-01-29T06:31:00"/>
    <x v="1"/>
    <x v="1"/>
    <x v="5"/>
    <s v="N/A"/>
    <x v="0"/>
    <n v="34"/>
    <n v="5"/>
    <s v="PROD"/>
    <s v="PRODUCTION"/>
    <s v="Close Ticket"/>
    <s v="No SLA for Request"/>
    <x v="1"/>
    <m/>
    <m/>
    <m/>
    <m/>
  </r>
  <r>
    <n v="111644"/>
    <d v="2021-03-18T14:23:00"/>
    <s v="How To Whitelist Domain N/Ame In Sap Api"/>
    <s v="Aurora Miller"/>
    <s v="aurora.miller@outlook.com"/>
    <x v="2"/>
    <x v="0"/>
    <x v="1"/>
    <x v="0"/>
    <x v="2"/>
    <d v="2021-03-31T10:46:00"/>
    <d v="2023-09-17T02:23:00"/>
    <x v="0"/>
    <x v="0"/>
    <x v="5"/>
    <s v="N/A"/>
    <x v="0"/>
    <n v="5"/>
    <n v="0"/>
    <s v="NON-PROD"/>
    <s v="DEVELOPMENT"/>
    <s v="New Ticket"/>
    <s v="No SLA for Request"/>
    <x v="1"/>
    <m/>
    <m/>
    <m/>
    <m/>
  </r>
  <r>
    <n v="111642"/>
    <d v="2021-03-18T14:16:00"/>
    <s v="Creation Of Separate Nodes"/>
    <s v="Aurora Miller"/>
    <s v="aurora.miller@outlook.com"/>
    <x v="2"/>
    <x v="0"/>
    <x v="1"/>
    <x v="0"/>
    <x v="2"/>
    <d v="2021-03-30T18:58:00"/>
    <d v="2023-09-17T02:16:00"/>
    <x v="0"/>
    <x v="1"/>
    <x v="5"/>
    <s v="N/A"/>
    <x v="0"/>
    <n v="3"/>
    <n v="1"/>
    <s v="NON-PROD"/>
    <s v="DEVELOPMENT"/>
    <s v="New Ticket"/>
    <s v="No SLA for Request"/>
    <x v="1"/>
    <m/>
    <m/>
    <m/>
    <m/>
  </r>
  <r>
    <n v="111651"/>
    <d v="2021-03-24T16:54:00"/>
    <s v="Post Issue - Sap Slow Performance"/>
    <s v="Aurora Miller"/>
    <s v="aurora.miller@outlook.com"/>
    <x v="2"/>
    <x v="0"/>
    <x v="0"/>
    <x v="2"/>
    <x v="2"/>
    <d v="2021-03-30T18:54:00"/>
    <d v="2021-03-29T16:54:00"/>
    <x v="1"/>
    <x v="1"/>
    <x v="5"/>
    <s v="N/A"/>
    <x v="0"/>
    <n v="4"/>
    <n v="0"/>
    <s v="PROD"/>
    <s v="PRODUCTION"/>
    <s v="Close Ticket"/>
    <d v="2021-03-31T00:00:00"/>
    <x v="2"/>
    <m/>
    <m/>
    <m/>
    <m/>
  </r>
  <r>
    <n v="111640"/>
    <d v="2021-03-17T16:24:00"/>
    <s v="Loading Upon Saving Expression On Query MaN/Ager"/>
    <s v="Marvin Peters"/>
    <s v="mpeters@outlook.com"/>
    <x v="2"/>
    <x v="0"/>
    <x v="0"/>
    <x v="0"/>
    <x v="2"/>
    <d v="2021-03-30T18:00:00"/>
    <d v="2023-09-16T04:24:00"/>
    <x v="0"/>
    <x v="0"/>
    <x v="5"/>
    <s v="N/A"/>
    <x v="0"/>
    <n v="18"/>
    <n v="0"/>
    <s v="PROD"/>
    <s v="DEVELOPMENT"/>
    <s v="New Ticket"/>
    <d v="2021-03-24T00:00:00"/>
    <x v="0"/>
    <m/>
    <m/>
    <m/>
    <m/>
  </r>
  <r>
    <n v="111641"/>
    <d v="2021-03-17T16:37:00"/>
    <s v="Past Due Balance Posted In Student Center"/>
    <s v="Marvin Peters"/>
    <s v="mpeters@outlook.com"/>
    <x v="2"/>
    <x v="0"/>
    <x v="0"/>
    <x v="0"/>
    <x v="1"/>
    <d v="2021-03-30T17:55:00"/>
    <d v="2023-09-16T04:37:00"/>
    <x v="0"/>
    <x v="1"/>
    <x v="5"/>
    <s v="N/A"/>
    <x v="0"/>
    <n v="23"/>
    <n v="0"/>
    <s v="PROD"/>
    <s v="PRODUCTION"/>
    <s v="Close Ticket"/>
    <d v="2021-03-24T00:00:00"/>
    <x v="0"/>
    <m/>
    <m/>
    <m/>
    <m/>
  </r>
  <r>
    <n v="111617"/>
    <d v="2021-02-15T16:55:00"/>
    <s v="Integration Broker Issue"/>
    <s v="Aurora Miller"/>
    <s v="aurora.miller@outlook.com"/>
    <x v="2"/>
    <x v="0"/>
    <x v="0"/>
    <x v="0"/>
    <x v="0"/>
    <d v="2021-03-30T17:03:00"/>
    <d v="2021-02-16T04:55:00"/>
    <x v="0"/>
    <x v="0"/>
    <x v="0"/>
    <s v="N/A"/>
    <x v="0"/>
    <n v="22"/>
    <n v="4"/>
    <s v="PROD"/>
    <s v="PRODUCTION"/>
    <s v="Close Ticket"/>
    <d v="2021-02-22T00:00:00"/>
    <x v="0"/>
    <m/>
    <m/>
    <m/>
    <m/>
  </r>
  <r>
    <n v="111556"/>
    <d v="2020-11-16T16:05:00"/>
    <s v="Java Web Start Implementation"/>
    <s v="Kimberly Jones"/>
    <s v="kjones@outlook.com"/>
    <x v="2"/>
    <x v="0"/>
    <x v="0"/>
    <x v="0"/>
    <x v="2"/>
    <d v="2021-03-30T16:30:00"/>
    <d v="2020-11-17T04:05:00"/>
    <x v="1"/>
    <x v="0"/>
    <x v="3"/>
    <s v="N/A"/>
    <x v="1"/>
    <n v="42"/>
    <n v="0"/>
    <s v="PROD"/>
    <s v="PRODUCTION"/>
    <s v="New Ticket"/>
    <d v="2020-11-23T00:00:00"/>
    <x v="0"/>
    <m/>
    <m/>
    <m/>
    <m/>
  </r>
  <r>
    <n v="111654"/>
    <d v="2021-03-26T10:23:00"/>
    <s v="Cloudflare Blocked Uploading Xml"/>
    <s v="Erick White"/>
    <s v="ewhite@yahoo.com"/>
    <x v="2"/>
    <x v="0"/>
    <x v="0"/>
    <x v="0"/>
    <x v="2"/>
    <d v="2021-03-30T14:33:00"/>
    <d v="2023-09-24T22:23:00"/>
    <x v="0"/>
    <x v="1"/>
    <x v="3"/>
    <s v="N/A"/>
    <x v="1"/>
    <n v="17"/>
    <n v="0"/>
    <s v="NON-PROD"/>
    <s v="TEST"/>
    <s v="New Ticket"/>
    <d v="2021-04-02T00:00:00"/>
    <x v="2"/>
    <m/>
    <m/>
    <m/>
    <m/>
  </r>
  <r>
    <n v="111622"/>
    <d v="2021-02-22T15:16:00"/>
    <s v="UN/Able To Attach Update Xml File In Data Def"/>
    <s v="Kian Rogers"/>
    <s v="krogers@mailiN/Ator.com"/>
    <x v="2"/>
    <x v="0"/>
    <x v="0"/>
    <x v="0"/>
    <x v="1"/>
    <d v="2021-03-29T14:01:00"/>
    <d v="2021-02-23T03:16:00"/>
    <x v="1"/>
    <x v="1"/>
    <x v="3"/>
    <s v="N/A"/>
    <x v="1"/>
    <n v="13"/>
    <n v="1"/>
    <s v="NON-PROD"/>
    <s v="TEST"/>
    <s v="New Ticket"/>
    <d v="2021-03-01T00:00:00"/>
    <x v="0"/>
    <m/>
    <m/>
    <m/>
    <m/>
  </r>
  <r>
    <n v="111583"/>
    <d v="2020-12-22T10:34:00"/>
    <s v="Retropay Report Not Displaying In Pdf"/>
    <s v="Melody Thompson"/>
    <s v="mthompson@yahoo.com"/>
    <x v="2"/>
    <x v="0"/>
    <x v="0"/>
    <x v="0"/>
    <x v="0"/>
    <d v="2021-03-29T13:35:00"/>
    <d v="2020-12-27T10:34:00"/>
    <x v="0"/>
    <x v="0"/>
    <x v="0"/>
    <s v="N/A"/>
    <x v="1"/>
    <n v="27"/>
    <n v="11"/>
    <s v="PROD"/>
    <s v="PRODUCTION"/>
    <s v="Close Ticket"/>
    <d v="2020-12-29T00:00:00"/>
    <x v="0"/>
    <m/>
    <m/>
    <m/>
    <m/>
  </r>
  <r>
    <n v="111634"/>
    <d v="2021-03-11T10:44:00"/>
    <s v="1900 Emails From Jde Workflow Notif Mailer"/>
    <s v="Erick White"/>
    <s v="ewhite@yahoo.com"/>
    <x v="2"/>
    <x v="0"/>
    <x v="0"/>
    <x v="3"/>
    <x v="1"/>
    <d v="2021-03-29T13:16:00"/>
    <d v="2023-09-09T22:44:00"/>
    <x v="0"/>
    <x v="0"/>
    <x v="3"/>
    <s v="N/A"/>
    <x v="1"/>
    <n v="6"/>
    <n v="0"/>
    <s v="NON-PROD"/>
    <s v="TEST"/>
    <s v="New Ticket"/>
    <d v="2021-03-18T00:00:00"/>
    <x v="0"/>
    <m/>
    <m/>
    <m/>
    <m/>
  </r>
  <r>
    <n v="111457"/>
    <d v="2020-07-07T13:27:00"/>
    <s v="Dv Approval Error"/>
    <s v="Kimberly Jones"/>
    <s v="kjones@outlook.com"/>
    <x v="2"/>
    <x v="0"/>
    <x v="0"/>
    <x v="0"/>
    <x v="2"/>
    <d v="2021-03-29T11:25:00"/>
    <d v="2020-07-08T01:27:00"/>
    <x v="1"/>
    <x v="0"/>
    <x v="3"/>
    <s v="N/A"/>
    <x v="1"/>
    <n v="33"/>
    <n v="3"/>
    <s v="PROD"/>
    <s v="PRODUCTION"/>
    <s v="New Ticket"/>
    <d v="2020-07-14T00:00:00"/>
    <x v="0"/>
    <m/>
    <m/>
    <m/>
    <m/>
  </r>
  <r>
    <n v="111653"/>
    <d v="2021-03-25T19:06:00"/>
    <s v="Expression Output On Query MaN/Ager"/>
    <s v="Marvin Peters"/>
    <s v="mpeters@outlook.com"/>
    <x v="2"/>
    <x v="0"/>
    <x v="0"/>
    <x v="0"/>
    <x v="2"/>
    <d v="2021-03-26T16:37:00"/>
    <d v="2023-09-24T07:06:00"/>
    <x v="0"/>
    <x v="0"/>
    <x v="3"/>
    <s v="N/A"/>
    <x v="0"/>
    <n v="5"/>
    <n v="0"/>
    <s v="PROD"/>
    <s v="PRODUCTION"/>
    <s v="Close Ticket"/>
    <d v="2021-04-01T00:00:00"/>
    <x v="2"/>
    <m/>
    <m/>
    <m/>
    <m/>
  </r>
  <r>
    <n v="111652"/>
    <d v="2021-03-24T17:54:00"/>
    <s v="Tablespace Issue"/>
    <s v="John Brown"/>
    <s v="jbrown@outlook.com"/>
    <x v="2"/>
    <x v="0"/>
    <x v="1"/>
    <x v="0"/>
    <x v="2"/>
    <d v="2021-03-26T13:25:00"/>
    <d v="2023-09-23T05:54:00"/>
    <x v="0"/>
    <x v="1"/>
    <x v="3"/>
    <s v="N/A"/>
    <x v="0"/>
    <n v="4"/>
    <n v="0"/>
    <s v="NON-PROD"/>
    <s v="TEST"/>
    <s v="New Ticket"/>
    <s v="No SLA for Request"/>
    <x v="1"/>
    <m/>
    <m/>
    <m/>
    <m/>
  </r>
  <r>
    <n v="111476"/>
    <d v="2020-07-24T13:16:00"/>
    <s v="Cannot TermiN/Ate Employment"/>
    <s v="Melody Thompson"/>
    <s v="mthompson@yahoo.com"/>
    <x v="2"/>
    <x v="0"/>
    <x v="0"/>
    <x v="0"/>
    <x v="0"/>
    <d v="2021-03-24T15:10:00"/>
    <d v="2020-07-29T13:16:00"/>
    <x v="0"/>
    <x v="0"/>
    <x v="0"/>
    <s v="N/A"/>
    <x v="1"/>
    <n v="85"/>
    <n v="27"/>
    <s v="PROD"/>
    <s v="PRODUCTION"/>
    <s v="Close Ticket"/>
    <d v="2020-07-31T00:00:00"/>
    <x v="0"/>
    <m/>
    <m/>
    <m/>
    <m/>
  </r>
  <r>
    <n v="111637"/>
    <d v="2021-03-16T10:02:00"/>
    <s v="Special Leave Issues"/>
    <s v="Kian Rogers"/>
    <s v="krogers@mailiN/Ator.com"/>
    <x v="2"/>
    <x v="0"/>
    <x v="0"/>
    <x v="0"/>
    <x v="1"/>
    <d v="2021-03-24T13:23:00"/>
    <d v="2023-09-14T22:02:00"/>
    <x v="0"/>
    <x v="1"/>
    <x v="3"/>
    <s v="N/A"/>
    <x v="1"/>
    <n v="6"/>
    <n v="3"/>
    <s v="NON-PROD"/>
    <s v="TEST"/>
    <s v="Close Ticket"/>
    <d v="2021-03-23T00:00:00"/>
    <x v="0"/>
    <m/>
    <m/>
    <m/>
    <m/>
  </r>
  <r>
    <n v="111648"/>
    <d v="2021-03-23T11:16:00"/>
    <s v="Locked Out Openvpn Account"/>
    <s v="Cherie Mercurie"/>
    <s v="cmercurie@outlook.com"/>
    <x v="2"/>
    <x v="0"/>
    <x v="1"/>
    <x v="0"/>
    <x v="0"/>
    <d v="2021-03-23T17:29:00"/>
    <d v="2023-09-21T23:16:00"/>
    <x v="0"/>
    <x v="0"/>
    <x v="0"/>
    <s v="N/A"/>
    <x v="3"/>
    <n v="7"/>
    <n v="0"/>
    <s v="NON-PROD"/>
    <s v="DEVELOPMENT"/>
    <s v="Close Ticket"/>
    <s v="No SLA for Request"/>
    <x v="1"/>
    <m/>
    <m/>
    <m/>
    <m/>
  </r>
  <r>
    <n v="111647"/>
    <d v="2021-03-22T18:33:00"/>
    <s v="[Test Only]:::Sap Reset Password"/>
    <s v="Cherie Mercurie"/>
    <s v="cmercurie@outlook.com"/>
    <x v="2"/>
    <x v="1"/>
    <x v="1"/>
    <x v="2"/>
    <x v="2"/>
    <d v="2021-03-22T18:33:00"/>
    <d v="2021-03-27T18:33:00"/>
    <x v="1"/>
    <x v="0"/>
    <x v="3"/>
    <s v="N/A"/>
    <x v="4"/>
    <n v="3"/>
    <n v="0"/>
    <s v="NON-PROD"/>
    <s v="TEST"/>
    <s v="New Ticket"/>
    <s v="No SLA for Request"/>
    <x v="1"/>
    <m/>
    <m/>
    <m/>
    <m/>
  </r>
  <r>
    <n v="111646"/>
    <d v="2021-03-22T18:25:00"/>
    <s v="[Test Only]:::[Sap]Page Not Available"/>
    <s v="Cherie Mercurie"/>
    <s v="cmercurie@outlook.com"/>
    <x v="2"/>
    <x v="1"/>
    <x v="0"/>
    <x v="0"/>
    <x v="1"/>
    <d v="2021-03-22T18:25:00"/>
    <d v="2021-03-27T18:25:00"/>
    <x v="1"/>
    <x v="0"/>
    <x v="3"/>
    <s v="N/A"/>
    <x v="4"/>
    <n v="5"/>
    <n v="1"/>
    <s v="NON-PROD"/>
    <s v="TEST"/>
    <s v="New Ticket"/>
    <d v="2021-03-29T00:00:00"/>
    <x v="2"/>
    <m/>
    <m/>
    <m/>
    <m/>
  </r>
  <r>
    <n v="111645"/>
    <d v="2021-03-19T08:52:00"/>
    <s v="How To Override Set-Up In Created Element"/>
    <s v="Melody Thompson"/>
    <s v="mthompson@yahoo.com"/>
    <x v="2"/>
    <x v="0"/>
    <x v="1"/>
    <x v="0"/>
    <x v="1"/>
    <d v="2021-03-19T08:52:00"/>
    <d v="2023-09-17T20:52:00"/>
    <x v="0"/>
    <x v="0"/>
    <x v="3"/>
    <s v="N/A"/>
    <x v="1"/>
    <n v="5"/>
    <n v="2"/>
    <s v="PROD"/>
    <s v="PRODUCTION"/>
    <s v="Close Ticket"/>
    <s v="No SLA for Request"/>
    <x v="1"/>
    <m/>
    <m/>
    <m/>
    <m/>
  </r>
  <r>
    <n v="111638"/>
    <d v="2021-03-16T16:26:00"/>
    <s v="Test Ticket"/>
    <s v="Cherie Mercurie"/>
    <s v="cmercurie@outlook.com"/>
    <x v="2"/>
    <x v="1"/>
    <x v="0"/>
    <x v="1"/>
    <x v="2"/>
    <d v="2021-03-16T16:26:00"/>
    <d v="2021-03-21T16:26:00"/>
    <x v="1"/>
    <x v="1"/>
    <x v="3"/>
    <s v="N/A"/>
    <x v="4"/>
    <n v="2"/>
    <n v="0"/>
    <s v="PROD"/>
    <s v="PRODUCTION"/>
    <s v="New Ticket"/>
    <d v="2021-03-23T00:00:00"/>
    <x v="2"/>
    <m/>
    <m/>
    <m/>
    <m/>
  </r>
  <r>
    <n v="111599"/>
    <d v="2021-01-28T10:39:00"/>
    <s v="Extraction Of Data On Odsm."/>
    <s v="Marvin Peters"/>
    <s v="mpeters@outlook.com"/>
    <x v="2"/>
    <x v="0"/>
    <x v="1"/>
    <x v="0"/>
    <x v="0"/>
    <d v="2021-03-15T17:10:00"/>
    <d v="2021-02-02T10:39:00"/>
    <x v="0"/>
    <x v="0"/>
    <x v="0"/>
    <s v="N/A"/>
    <x v="0"/>
    <n v="12"/>
    <n v="3"/>
    <s v="NON-PROD"/>
    <s v="DEVELOPMENT"/>
    <s v="New Ticket"/>
    <s v="No SLA for Request"/>
    <x v="1"/>
    <m/>
    <m/>
    <m/>
    <m/>
  </r>
  <r>
    <n v="111627"/>
    <d v="2021-03-04T13:13:00"/>
    <s v="Post Issue - Sap Login Issues Encountered"/>
    <s v="Bladimir MacdoN/Ald"/>
    <s v="bmacdoN/Ald@outlook.com"/>
    <x v="2"/>
    <x v="0"/>
    <x v="0"/>
    <x v="0"/>
    <x v="0"/>
    <d v="2021-03-15T17:09:00"/>
    <d v="2021-03-09T13:13:00"/>
    <x v="0"/>
    <x v="0"/>
    <x v="0"/>
    <s v="N/A"/>
    <x v="0"/>
    <n v="5"/>
    <n v="1"/>
    <s v="PROD"/>
    <s v="PRODUCTION"/>
    <s v="New Ticket"/>
    <d v="2021-03-11T00:00:00"/>
    <x v="0"/>
    <m/>
    <m/>
    <m/>
    <m/>
  </r>
  <r>
    <n v="111628"/>
    <d v="2021-03-04T13:15:00"/>
    <s v="Post Issue - Sap Slow Performance Issue"/>
    <s v="Bladimir MacdoN/Ald"/>
    <s v="bmacdoN/Ald@outlook.com"/>
    <x v="2"/>
    <x v="0"/>
    <x v="0"/>
    <x v="0"/>
    <x v="0"/>
    <d v="2021-03-15T17:06:00"/>
    <d v="2021-03-09T13:15:00"/>
    <x v="0"/>
    <x v="0"/>
    <x v="0"/>
    <s v="N/A"/>
    <x v="0"/>
    <n v="5"/>
    <n v="1"/>
    <s v="PROD"/>
    <s v="PRODUCTION"/>
    <s v="New Ticket"/>
    <d v="2021-03-11T00:00:00"/>
    <x v="0"/>
    <m/>
    <m/>
    <m/>
    <m/>
  </r>
  <r>
    <n v="111626"/>
    <d v="2021-03-03T15:44:00"/>
    <s v="Person AN/Alyzer"/>
    <s v="Kian Rogers"/>
    <s v="krogers@mailiN/Ator.com"/>
    <x v="2"/>
    <x v="0"/>
    <x v="1"/>
    <x v="0"/>
    <x v="0"/>
    <d v="2021-03-11T16:38:00"/>
    <d v="2021-03-04T03:44:00"/>
    <x v="0"/>
    <x v="0"/>
    <x v="0"/>
    <s v="N/A"/>
    <x v="1"/>
    <n v="3"/>
    <n v="0"/>
    <s v="NON-PROD"/>
    <s v="TEST"/>
    <s v="Close Ticket"/>
    <s v="No SLA for Request"/>
    <x v="1"/>
    <m/>
    <m/>
    <m/>
    <m/>
  </r>
  <r>
    <n v="111635"/>
    <d v="2021-03-11T11:54:00"/>
    <s v="Configuration Related To Web Browser To Open Java"/>
    <s v="Erick White"/>
    <s v="ewhite@yahoo.com"/>
    <x v="2"/>
    <x v="0"/>
    <x v="0"/>
    <x v="3"/>
    <x v="2"/>
    <d v="2021-03-11T11:54:00"/>
    <d v="2023-09-09T23:54:00"/>
    <x v="0"/>
    <x v="0"/>
    <x v="3"/>
    <s v="N/A"/>
    <x v="1"/>
    <n v="3"/>
    <n v="1"/>
    <s v="NON-PROD"/>
    <s v="TEST"/>
    <s v="New Ticket"/>
    <d v="2021-03-18T00:00:00"/>
    <x v="2"/>
    <m/>
    <m/>
    <m/>
    <m/>
  </r>
  <r>
    <n v="111619"/>
    <d v="2021-02-17T15:32:00"/>
    <s v="Issues In Up General Payroll Scholars Report"/>
    <s v="Melody Thompson"/>
    <s v="mthompson@yahoo.com"/>
    <x v="2"/>
    <x v="0"/>
    <x v="0"/>
    <x v="0"/>
    <x v="0"/>
    <d v="2021-03-10T17:11:00"/>
    <d v="2021-02-18T03:32:00"/>
    <x v="0"/>
    <x v="0"/>
    <x v="0"/>
    <s v="N/A"/>
    <x v="1"/>
    <n v="21"/>
    <n v="11"/>
    <s v="PROD"/>
    <s v="PRODUCTION"/>
    <s v="Close Ticket"/>
    <d v="2021-02-24T00:00:00"/>
    <x v="0"/>
    <m/>
    <m/>
    <m/>
    <m/>
  </r>
  <r>
    <n v="111615"/>
    <d v="2021-02-15T14:04:00"/>
    <s v="Post Issue - Getting &quot;No Space Left On Device&quot; "/>
    <s v="Marvin Peters"/>
    <s v="mpeters@outlook.com"/>
    <x v="2"/>
    <x v="0"/>
    <x v="0"/>
    <x v="0"/>
    <x v="0"/>
    <d v="2021-03-09T15:06:00"/>
    <s v="N/A"/>
    <x v="0"/>
    <x v="0"/>
    <x v="0"/>
    <s v="N/A"/>
    <x v="0"/>
    <n v="6"/>
    <n v="2"/>
    <s v="PROD"/>
    <s v="PRODUCTION"/>
    <s v="New Ticket"/>
    <d v="2021-02-22T00:00:00"/>
    <x v="0"/>
    <m/>
    <m/>
    <m/>
    <m/>
  </r>
  <r>
    <n v="111625"/>
    <d v="2021-02-24T11:34:00"/>
    <s v="Tuition Calculation Issue"/>
    <s v="Jasper John"/>
    <s v="jasper.john@gmail.com"/>
    <x v="2"/>
    <x v="0"/>
    <x v="1"/>
    <x v="0"/>
    <x v="0"/>
    <d v="2021-03-09T08:48:00"/>
    <d v="2021-02-24T23:34:00"/>
    <x v="0"/>
    <x v="0"/>
    <x v="0"/>
    <s v="N/A"/>
    <x v="0"/>
    <n v="12"/>
    <n v="3"/>
    <s v="PROD"/>
    <s v="PRODUCTION"/>
    <s v="New Ticket"/>
    <s v="No SLA for Request"/>
    <x v="1"/>
    <m/>
    <m/>
    <m/>
    <m/>
  </r>
  <r>
    <n v="111631"/>
    <d v="2021-03-05T15:49:00"/>
    <s v="[Sap] Page Is Not Available"/>
    <s v="Cherie Mercurie"/>
    <s v="cmercurie@outlook.com"/>
    <x v="2"/>
    <x v="1"/>
    <x v="0"/>
    <x v="0"/>
    <x v="2"/>
    <d v="2021-03-05T15:49:00"/>
    <d v="2021-03-10T15:49:00"/>
    <x v="1"/>
    <x v="1"/>
    <x v="3"/>
    <s v="N/A"/>
    <x v="4"/>
    <n v="2"/>
    <n v="0"/>
    <s v="PROD"/>
    <s v="PRODUCTION"/>
    <s v="New Ticket"/>
    <d v="2021-03-12T00:00:00"/>
    <x v="2"/>
    <m/>
    <m/>
    <m/>
    <m/>
  </r>
  <r>
    <n v="111629"/>
    <d v="2021-03-05T10:49:00"/>
    <s v="Test Ticket"/>
    <s v="Cherie Mercurie"/>
    <s v="cmercurie@outlook.com"/>
    <x v="2"/>
    <x v="1"/>
    <x v="0"/>
    <x v="0"/>
    <x v="2"/>
    <d v="2021-03-05T10:49:00"/>
    <d v="2021-03-12T17:00:00"/>
    <x v="1"/>
    <x v="1"/>
    <x v="3"/>
    <s v="N/A"/>
    <x v="4"/>
    <n v="3"/>
    <n v="0"/>
    <s v="NON-PROD"/>
    <s v="TEST"/>
    <s v="New Ticket"/>
    <d v="2021-03-12T00:00:00"/>
    <x v="2"/>
    <m/>
    <m/>
    <m/>
    <m/>
  </r>
  <r>
    <n v="111609"/>
    <d v="2021-02-15T13:45:00"/>
    <s v="Post Issue - Bind Failed / Odsm Down"/>
    <s v="Marvin Peters"/>
    <s v="mpeters@outlook.com"/>
    <x v="2"/>
    <x v="0"/>
    <x v="0"/>
    <x v="0"/>
    <x v="0"/>
    <d v="2021-03-02T17:42:00"/>
    <s v="N/A"/>
    <x v="0"/>
    <x v="0"/>
    <x v="0"/>
    <s v="N/A"/>
    <x v="0"/>
    <n v="6"/>
    <n v="2"/>
    <s v="PROD"/>
    <s v="PRODUCTION"/>
    <s v="New Ticket"/>
    <d v="2021-02-22T00:00:00"/>
    <x v="0"/>
    <m/>
    <m/>
    <m/>
    <m/>
  </r>
  <r>
    <n v="111623"/>
    <d v="2021-02-22T16:55:00"/>
    <s v="Person AN/Alyzer For 132939"/>
    <s v="Kian Rogers"/>
    <s v="krogers@mailiN/Ator.com"/>
    <x v="2"/>
    <x v="0"/>
    <x v="1"/>
    <x v="0"/>
    <x v="2"/>
    <d v="2021-03-01T16:20:00"/>
    <d v="2023-08-24T04:55:00"/>
    <x v="0"/>
    <x v="1"/>
    <x v="3"/>
    <s v="N/A"/>
    <x v="1"/>
    <n v="4"/>
    <n v="0"/>
    <s v="NON-PROD"/>
    <s v="TEST"/>
    <s v="New Ticket"/>
    <s v="No SLA for Request"/>
    <x v="1"/>
    <m/>
    <m/>
    <m/>
    <m/>
  </r>
  <r>
    <n v="111606"/>
    <d v="2021-02-10T10:53:00"/>
    <s v="Openvpn Error"/>
    <s v="Melody Thompson"/>
    <s v="mthompson@yahoo.com"/>
    <x v="2"/>
    <x v="0"/>
    <x v="0"/>
    <x v="0"/>
    <x v="0"/>
    <d v="2021-02-26T17:25:00"/>
    <d v="2021-02-10T22:53:00"/>
    <x v="0"/>
    <x v="0"/>
    <x v="3"/>
    <s v="N/A"/>
    <x v="3"/>
    <n v="7"/>
    <n v="2"/>
    <s v="PROD"/>
    <s v="PRODUCTION"/>
    <s v="New Ticket"/>
    <d v="2021-02-17T00:00:00"/>
    <x v="0"/>
    <m/>
    <m/>
    <m/>
    <m/>
  </r>
  <r>
    <n v="111610"/>
    <d v="2021-02-15T13:47:00"/>
    <s v="Slow Performance Of Sap/Sap Too Long To Load"/>
    <s v="Marvin Peters"/>
    <s v="mpeters@outlook.com"/>
    <x v="2"/>
    <x v="0"/>
    <x v="0"/>
    <x v="0"/>
    <x v="0"/>
    <d v="2021-02-24T17:38:00"/>
    <d v="2021-02-16T01:47:00"/>
    <x v="0"/>
    <x v="0"/>
    <x v="0"/>
    <s v="N/A"/>
    <x v="0"/>
    <n v="5"/>
    <n v="1"/>
    <s v="PROD"/>
    <s v="PRODUCTION"/>
    <s v="New Ticket"/>
    <d v="2021-02-22T00:00:00"/>
    <x v="0"/>
    <m/>
    <m/>
    <m/>
    <m/>
  </r>
  <r>
    <n v="111612"/>
    <d v="2021-02-15T13:53:00"/>
    <s v="Cashier Officer Can'T Use Search In Sap (Upceb)"/>
    <s v="Marvin Peters"/>
    <s v="mpeters@outlook.com"/>
    <x v="2"/>
    <x v="0"/>
    <x v="0"/>
    <x v="0"/>
    <x v="0"/>
    <d v="2021-02-24T17:37:00"/>
    <d v="2021-02-16T01:53:00"/>
    <x v="0"/>
    <x v="0"/>
    <x v="0"/>
    <s v="N/A"/>
    <x v="0"/>
    <n v="5"/>
    <n v="1"/>
    <s v="PROD"/>
    <s v="PRODUCTION"/>
    <s v="New Ticket"/>
    <d v="2021-02-22T00:00:00"/>
    <x v="0"/>
    <m/>
    <m/>
    <m/>
    <m/>
  </r>
  <r>
    <n v="111613"/>
    <d v="2021-02-15T13:56:00"/>
    <s v="Post Issue - Sql Access MaN/Agersql"/>
    <s v="Marvin Peters"/>
    <s v="mpeters@outlook.com"/>
    <x v="2"/>
    <x v="0"/>
    <x v="0"/>
    <x v="0"/>
    <x v="0"/>
    <d v="2021-02-24T17:34:00"/>
    <s v="N/A"/>
    <x v="0"/>
    <x v="0"/>
    <x v="0"/>
    <s v="N/A"/>
    <x v="0"/>
    <n v="5"/>
    <n v="1"/>
    <s v="PROD"/>
    <s v="PRODUCTION"/>
    <s v="New Ticket"/>
    <d v="2021-02-22T00:00:00"/>
    <x v="0"/>
    <m/>
    <m/>
    <m/>
    <m/>
  </r>
  <r>
    <n v="111614"/>
    <d v="2021-02-15T14:02:00"/>
    <s v="Error Appeared Maintain Schedule Of Classes Module"/>
    <s v="Marvin Peters"/>
    <s v="mpeters@outlook.com"/>
    <x v="2"/>
    <x v="0"/>
    <x v="0"/>
    <x v="0"/>
    <x v="0"/>
    <d v="2021-02-24T17:28:00"/>
    <d v="2021-02-16T02:02:00"/>
    <x v="0"/>
    <x v="0"/>
    <x v="0"/>
    <s v="N/A"/>
    <x v="0"/>
    <n v="5"/>
    <n v="1"/>
    <s v="PROD"/>
    <s v="PRODUCTION"/>
    <s v="New Ticket"/>
    <d v="2021-02-22T00:00:00"/>
    <x v="0"/>
    <m/>
    <m/>
    <m/>
    <m/>
  </r>
  <r>
    <n v="111604"/>
    <d v="2021-02-03T14:11:00"/>
    <s v="Received Email Notifs On 01-Feb-2021"/>
    <s v="Melody Thompson"/>
    <s v="mthompson@yahoo.com"/>
    <x v="2"/>
    <x v="0"/>
    <x v="0"/>
    <x v="0"/>
    <x v="0"/>
    <d v="2021-02-23T17:47:00"/>
    <d v="2021-02-04T02:11:00"/>
    <x v="0"/>
    <x v="0"/>
    <x v="0"/>
    <s v="N/A"/>
    <x v="1"/>
    <n v="9"/>
    <n v="1"/>
    <s v="NON-PROD"/>
    <s v="TEST"/>
    <s v="New Ticket"/>
    <d v="2021-02-10T00:00:00"/>
    <x v="0"/>
    <m/>
    <m/>
    <m/>
    <m/>
  </r>
  <r>
    <n v="111605"/>
    <d v="2021-02-08T16:34:00"/>
    <s v="Revising The Contact Information"/>
    <s v="Aurora Miller"/>
    <s v="aurora.miller@outlook.com"/>
    <x v="2"/>
    <x v="0"/>
    <x v="0"/>
    <x v="0"/>
    <x v="0"/>
    <d v="2021-02-22T17:35:00"/>
    <d v="2021-02-09T04:34:00"/>
    <x v="0"/>
    <x v="0"/>
    <x v="0"/>
    <s v="N/A"/>
    <x v="0"/>
    <n v="19"/>
    <n v="2"/>
    <s v="PROD"/>
    <s v="PRODUCTION"/>
    <s v="New Ticket"/>
    <d v="2021-02-15T00:00:00"/>
    <x v="0"/>
    <m/>
    <m/>
    <m/>
    <m/>
  </r>
  <r>
    <n v="111611"/>
    <d v="2021-02-15T13:50:00"/>
    <s v="Post Issue - Can'T Login To Sap"/>
    <s v="Marvin Peters"/>
    <s v="mpeters@outlook.com"/>
    <x v="2"/>
    <x v="0"/>
    <x v="0"/>
    <x v="0"/>
    <x v="0"/>
    <d v="2021-02-22T17:34:00"/>
    <s v="N/A"/>
    <x v="0"/>
    <x v="0"/>
    <x v="0"/>
    <s v="N/A"/>
    <x v="0"/>
    <n v="7"/>
    <n v="1"/>
    <s v="PROD"/>
    <s v="PRODUCTION"/>
    <s v="New Ticket"/>
    <d v="2021-02-22T00:00:00"/>
    <x v="0"/>
    <m/>
    <m/>
    <m/>
    <m/>
  </r>
  <r>
    <n v="111607"/>
    <d v="2021-02-12T19:25:00"/>
    <s v="Person AN/Alyzer"/>
    <s v="Kian Rogers"/>
    <s v="krogers@mailiN/Ator.com"/>
    <x v="2"/>
    <x v="0"/>
    <x v="1"/>
    <x v="0"/>
    <x v="0"/>
    <d v="2021-02-19T16:49:00"/>
    <d v="2021-02-13T07:25:00"/>
    <x v="0"/>
    <x v="0"/>
    <x v="0"/>
    <s v="N/A"/>
    <x v="1"/>
    <n v="8"/>
    <n v="3"/>
    <s v="NON-PROD"/>
    <s v="TEST"/>
    <s v="Close Ticket"/>
    <s v="No SLA for Request"/>
    <x v="1"/>
    <m/>
    <m/>
    <m/>
    <m/>
  </r>
  <r>
    <n v="111620"/>
    <d v="2021-02-19T15:07:00"/>
    <s v="Closing Payables Accounting Period Issue"/>
    <s v="Kimberly Jones"/>
    <s v="kjones@outlook.com"/>
    <x v="2"/>
    <x v="0"/>
    <x v="0"/>
    <x v="0"/>
    <x v="2"/>
    <d v="2021-02-19T15:07:00"/>
    <d v="2023-08-21T03:07:00"/>
    <x v="0"/>
    <x v="0"/>
    <x v="3"/>
    <s v="N/A"/>
    <x v="1"/>
    <n v="2"/>
    <n v="0"/>
    <s v="NON-PROD"/>
    <s v="TEST"/>
    <s v="New Ticket"/>
    <d v="2021-02-26T00:00:00"/>
    <x v="2"/>
    <m/>
    <m/>
    <m/>
    <m/>
  </r>
  <r>
    <n v="111616"/>
    <d v="2021-02-15T15:57:00"/>
    <s v="Request For Vpn Account"/>
    <s v="CheeN/A Carols"/>
    <s v="cheeN/A.carols@mailiN/Ator.com"/>
    <x v="2"/>
    <x v="0"/>
    <x v="1"/>
    <x v="0"/>
    <x v="0"/>
    <d v="2021-02-19T14:12:00"/>
    <d v="2021-02-16T03:57:00"/>
    <x v="0"/>
    <x v="0"/>
    <x v="0"/>
    <s v="N/A"/>
    <x v="3"/>
    <n v="5"/>
    <n v="0"/>
    <s v="PROD"/>
    <s v="PRODUCTION"/>
    <s v="Close Ticket"/>
    <s v="No SLA for Request"/>
    <x v="1"/>
    <m/>
    <m/>
    <m/>
    <m/>
  </r>
  <r>
    <n v="111618"/>
    <d v="2021-02-15T17:07:00"/>
    <s v="Integration Broker Issue (Test)"/>
    <s v="Aurora Miller"/>
    <s v="aurora.miller@outlook.com"/>
    <x v="2"/>
    <x v="0"/>
    <x v="0"/>
    <x v="0"/>
    <x v="2"/>
    <d v="2021-02-15T17:07:00"/>
    <d v="2023-08-17T05:07:00"/>
    <x v="0"/>
    <x v="0"/>
    <x v="3"/>
    <s v="N/A"/>
    <x v="0"/>
    <n v="2"/>
    <n v="1"/>
    <s v="NON-PROD"/>
    <s v="TEST"/>
    <s v="New Ticket"/>
    <d v="2021-02-22T00:00:00"/>
    <x v="2"/>
    <m/>
    <m/>
    <m/>
    <m/>
  </r>
  <r>
    <n v="111593"/>
    <d v="2021-01-19T23:31:00"/>
    <s v="Change Password"/>
    <s v="Aurora Miller"/>
    <s v="aurora.miller@outlook.com"/>
    <x v="2"/>
    <x v="0"/>
    <x v="0"/>
    <x v="0"/>
    <x v="0"/>
    <d v="2021-02-11T17:04:00"/>
    <d v="2021-01-20T11:31:00"/>
    <x v="0"/>
    <x v="0"/>
    <x v="0"/>
    <s v="N/A"/>
    <x v="0"/>
    <n v="14"/>
    <n v="1"/>
    <s v="PROD"/>
    <s v="PRODUCTION"/>
    <s v="Close Ticket"/>
    <d v="2021-01-26T00:00:00"/>
    <x v="0"/>
    <m/>
    <m/>
    <m/>
    <m/>
  </r>
  <r>
    <n v="111600"/>
    <d v="2021-01-28T16:57:00"/>
    <s v="Contact Details Update (Landing Page)"/>
    <s v="Aurora Miller"/>
    <s v="aurora.miller@outlook.com"/>
    <x v="2"/>
    <x v="0"/>
    <x v="1"/>
    <x v="0"/>
    <x v="0"/>
    <d v="2021-02-05T17:41:00"/>
    <d v="2021-01-29T04:57:00"/>
    <x v="0"/>
    <x v="0"/>
    <x v="0"/>
    <s v="N/A"/>
    <x v="0"/>
    <n v="9"/>
    <n v="2"/>
    <s v="PROD"/>
    <s v="PRODUCTION"/>
    <s v="New Ticket"/>
    <s v="No SLA for Request"/>
    <x v="1"/>
    <m/>
    <m/>
    <m/>
    <m/>
  </r>
  <r>
    <n v="111546"/>
    <d v="2020-11-08T20:24:00"/>
    <s v="Demo Units For Pullout"/>
    <s v="Paul Smith"/>
    <s v="paul.smith@mailiN/Ator.com"/>
    <x v="2"/>
    <x v="1"/>
    <x v="1"/>
    <x v="1"/>
    <x v="0"/>
    <d v="2021-02-05T17:02:00"/>
    <d v="2020-11-09T08:24:00"/>
    <x v="0"/>
    <x v="0"/>
    <x v="0"/>
    <s v="N/A"/>
    <x v="2"/>
    <n v="5"/>
    <n v="0"/>
    <s v="NON-PROD"/>
    <s v="TEST"/>
    <s v="New Ticket"/>
    <s v="No SLA for Request"/>
    <x v="1"/>
    <m/>
    <m/>
    <m/>
    <m/>
  </r>
  <r>
    <n v="111562"/>
    <d v="2020-11-23T09:33:00"/>
    <s v="License Is Not Yet Activated / Reflected In Fortic"/>
    <s v="Grace Evans"/>
    <s v="gevans@mailiN/Ator.com"/>
    <x v="2"/>
    <x v="1"/>
    <x v="1"/>
    <x v="2"/>
    <x v="0"/>
    <d v="2021-02-05T17:00:00"/>
    <d v="2020-11-23T21:33:00"/>
    <x v="0"/>
    <x v="0"/>
    <x v="0"/>
    <s v="N/A"/>
    <x v="2"/>
    <n v="6"/>
    <n v="1"/>
    <s v="NON-PROD"/>
    <s v="TEST"/>
    <s v="New Ticket"/>
    <s v="No SLA for Request"/>
    <x v="1"/>
    <m/>
    <m/>
    <m/>
    <m/>
  </r>
  <r>
    <n v="111518"/>
    <d v="2020-10-05T14:56:00"/>
    <s v="Error On My Reqjdeition Table"/>
    <s v="Riza Richardson"/>
    <s v="rrichardson@mailiN/Ator.com"/>
    <x v="2"/>
    <x v="0"/>
    <x v="0"/>
    <x v="0"/>
    <x v="0"/>
    <d v="2021-02-02T17:01:00"/>
    <d v="2020-10-06T02:56:00"/>
    <x v="0"/>
    <x v="0"/>
    <x v="0"/>
    <s v="N/A"/>
    <x v="1"/>
    <n v="64"/>
    <n v="3"/>
    <s v="NON-PROD"/>
    <s v="TEST"/>
    <s v="Close Ticket"/>
    <d v="2020-10-12T00:00:00"/>
    <x v="0"/>
    <m/>
    <m/>
    <m/>
    <m/>
  </r>
  <r>
    <n v="111603"/>
    <d v="2021-01-29T11:37:00"/>
    <s v="Error On Odsm."/>
    <s v="Marvin Peters"/>
    <s v="mpeters@outlook.com"/>
    <x v="2"/>
    <x v="0"/>
    <x v="0"/>
    <x v="0"/>
    <x v="2"/>
    <d v="2021-01-29T11:37:00"/>
    <d v="2021-02-03T11:37:00"/>
    <x v="1"/>
    <x v="0"/>
    <x v="3"/>
    <s v="N/A"/>
    <x v="0"/>
    <n v="2"/>
    <n v="1"/>
    <s v="PROD"/>
    <s v="PRODUCTION"/>
    <s v="New Ticket"/>
    <d v="2021-02-05T00:00:00"/>
    <x v="2"/>
    <m/>
    <m/>
    <m/>
    <m/>
  </r>
  <r>
    <n v="111582"/>
    <d v="2020-12-18T14:21:00"/>
    <s v="Error Upon Sending Notification."/>
    <s v="Marvin Peters"/>
    <s v="mpeters@outlook.com"/>
    <x v="2"/>
    <x v="0"/>
    <x v="0"/>
    <x v="0"/>
    <x v="0"/>
    <d v="2021-01-25T18:06:00"/>
    <d v="2020-12-19T02:21:00"/>
    <x v="0"/>
    <x v="0"/>
    <x v="0"/>
    <s v="N/A"/>
    <x v="0"/>
    <n v="10"/>
    <n v="2"/>
    <s v="PROD"/>
    <s v="PRODUCTION"/>
    <s v="New Ticket"/>
    <d v="2020-12-25T00:00:00"/>
    <x v="0"/>
    <m/>
    <m/>
    <m/>
    <m/>
  </r>
  <r>
    <n v="111557"/>
    <d v="2020-11-18T20:22:00"/>
    <s v="Deletion Of Nid Data In Add/Update A Person Module"/>
    <s v="Bladimir MacdoN/Ald"/>
    <s v="bmacdoN/Ald@outlook.com"/>
    <x v="2"/>
    <x v="0"/>
    <x v="1"/>
    <x v="0"/>
    <x v="0"/>
    <d v="2021-01-25T17:57:00"/>
    <d v="2020-11-19T08:22:00"/>
    <x v="0"/>
    <x v="0"/>
    <x v="0"/>
    <s v="N/A"/>
    <x v="0"/>
    <n v="15"/>
    <n v="1"/>
    <s v="PROD"/>
    <s v="PRODUCTION"/>
    <s v="New Ticket"/>
    <s v="No SLA for Request"/>
    <x v="1"/>
    <m/>
    <m/>
    <m/>
    <m/>
  </r>
  <r>
    <n v="111598"/>
    <d v="2021-01-25T17:07:00"/>
    <s v="PersoN/Alization On Shopping Cart Buttons"/>
    <s v="Riza Richardson"/>
    <s v="rrichardson@mailiN/Ator.com"/>
    <x v="2"/>
    <x v="0"/>
    <x v="1"/>
    <x v="0"/>
    <x v="2"/>
    <d v="2021-01-25T17:07:00"/>
    <d v="2023-07-27T05:07:00"/>
    <x v="0"/>
    <x v="0"/>
    <x v="3"/>
    <s v="N/A"/>
    <x v="1"/>
    <n v="2"/>
    <n v="2"/>
    <s v="NON-PROD"/>
    <s v="TEST"/>
    <s v="New Ticket"/>
    <s v="No SLA for Request"/>
    <x v="1"/>
    <m/>
    <m/>
    <m/>
    <m/>
  </r>
  <r>
    <n v="111592"/>
    <d v="2021-01-15T07:37:00"/>
    <s v="New Vpn Account"/>
    <s v="Erick White"/>
    <s v="ewhite@yahoo.com"/>
    <x v="2"/>
    <x v="1"/>
    <x v="1"/>
    <x v="0"/>
    <x v="0"/>
    <d v="2021-01-22T16:02:00"/>
    <d v="2021-01-15T19:37:00"/>
    <x v="0"/>
    <x v="0"/>
    <x v="0"/>
    <s v="N/A"/>
    <x v="4"/>
    <n v="5"/>
    <n v="0"/>
    <s v="PROD"/>
    <s v="PRODUCTION"/>
    <s v="New Ticket"/>
    <s v="No SLA for Request"/>
    <x v="1"/>
    <m/>
    <m/>
    <m/>
    <m/>
  </r>
  <r>
    <n v="111595"/>
    <d v="2021-01-22T10:14:00"/>
    <s v="Iso Copying Problem"/>
    <s v="Erick White"/>
    <s v="ewhite@yahoo.com"/>
    <x v="2"/>
    <x v="1"/>
    <x v="0"/>
    <x v="0"/>
    <x v="2"/>
    <d v="2021-01-22T10:14:00"/>
    <d v="2021-01-22T22:14:00"/>
    <x v="1"/>
    <x v="0"/>
    <x v="3"/>
    <s v="N/A"/>
    <x v="4"/>
    <n v="3"/>
    <n v="0"/>
    <s v="NON-PROD"/>
    <s v="DEVELOPMENT"/>
    <s v="New Ticket"/>
    <d v="2021-01-29T00:00:00"/>
    <x v="2"/>
    <m/>
    <m/>
    <m/>
    <m/>
  </r>
  <r>
    <n v="111594"/>
    <d v="2021-01-21T08:49:00"/>
    <s v="Laptop Has Been Experiencing More Crashes"/>
    <s v="Willard Smith"/>
    <s v="willard.smith@mailiN/Ator.com"/>
    <x v="2"/>
    <x v="1"/>
    <x v="0"/>
    <x v="2"/>
    <x v="2"/>
    <d v="2021-01-21T08:49:00"/>
    <d v="2021-01-21T20:49:00"/>
    <x v="1"/>
    <x v="0"/>
    <x v="3"/>
    <s v="N/A"/>
    <x v="2"/>
    <n v="2"/>
    <n v="0"/>
    <s v="NON-PROD"/>
    <s v="TEST"/>
    <s v="New Ticket"/>
    <d v="2021-01-28T00:00:00"/>
    <x v="2"/>
    <m/>
    <m/>
    <m/>
    <m/>
  </r>
  <r>
    <n v="111558"/>
    <d v="2020-11-18T20:59:00"/>
    <s v="Itdc Servers Not Accessible"/>
    <s v="Aurora Miller"/>
    <s v="aurora.miller@outlook.com"/>
    <x v="2"/>
    <x v="0"/>
    <x v="1"/>
    <x v="0"/>
    <x v="0"/>
    <d v="2021-01-15T16:42:00"/>
    <d v="2020-11-19T08:59:00"/>
    <x v="0"/>
    <x v="0"/>
    <x v="0"/>
    <s v="N/A"/>
    <x v="0"/>
    <n v="8"/>
    <n v="2"/>
    <s v="NON-PROD"/>
    <s v="DEVELOPMENT"/>
    <s v="New Ticket"/>
    <s v="No SLA for Request"/>
    <x v="1"/>
    <m/>
    <m/>
    <m/>
    <m/>
  </r>
  <r>
    <n v="111561"/>
    <d v="2020-11-20T16:01:00"/>
    <s v="Windows Error"/>
    <s v="Jovan Brown"/>
    <s v="jovan_brown@mailiN/Ator.com"/>
    <x v="2"/>
    <x v="1"/>
    <x v="0"/>
    <x v="2"/>
    <x v="0"/>
    <d v="2021-01-08T17:06:00"/>
    <d v="2020-11-21T04:01:00"/>
    <x v="0"/>
    <x v="0"/>
    <x v="0"/>
    <s v="N/A"/>
    <x v="2"/>
    <n v="4"/>
    <n v="0"/>
    <s v="NON-PROD"/>
    <s v="TEST"/>
    <s v="New Ticket"/>
    <d v="2020-11-27T00:00:00"/>
    <x v="0"/>
    <m/>
    <m/>
    <m/>
    <m/>
  </r>
  <r>
    <n v="111585"/>
    <d v="2020-12-23T13:47:00"/>
    <s v="Open Vpn Account Locked"/>
    <s v="Marvin Peters"/>
    <s v="mpeters@outlook.com"/>
    <x v="2"/>
    <x v="0"/>
    <x v="1"/>
    <x v="0"/>
    <x v="0"/>
    <d v="2021-01-05T17:07:00"/>
    <d v="2020-12-24T01:47:00"/>
    <x v="0"/>
    <x v="0"/>
    <x v="0"/>
    <s v="N/A"/>
    <x v="3"/>
    <n v="11"/>
    <n v="0"/>
    <s v="NON-PROD"/>
    <s v="DEVELOPMENT"/>
    <s v="New Ticket"/>
    <s v="No SLA for Request"/>
    <x v="1"/>
    <m/>
    <m/>
    <m/>
    <m/>
  </r>
  <r>
    <n v="111584"/>
    <d v="2020-12-22T15:05:00"/>
    <s v="Request To Update The Privacy Policy Link"/>
    <s v="Aurora Miller"/>
    <s v="aurora.miller@outlook.com"/>
    <x v="2"/>
    <x v="0"/>
    <x v="1"/>
    <x v="0"/>
    <x v="0"/>
    <d v="2021-01-05T16:27:00"/>
    <d v="2020-12-23T03:05:00"/>
    <x v="0"/>
    <x v="0"/>
    <x v="0"/>
    <s v="N/A"/>
    <x v="0"/>
    <n v="5"/>
    <n v="0"/>
    <s v="PROD"/>
    <s v="PRODUCTION"/>
    <s v="Close Ticket"/>
    <s v="No SLA for Request"/>
    <x v="1"/>
    <m/>
    <m/>
    <m/>
    <m/>
  </r>
  <r>
    <n v="111580"/>
    <d v="2020-12-14T18:52:00"/>
    <s v="[Odsm] Cannot Extract Ldif File"/>
    <s v="Aurora Miller"/>
    <s v="aurora.miller@outlook.com"/>
    <x v="2"/>
    <x v="0"/>
    <x v="0"/>
    <x v="0"/>
    <x v="0"/>
    <d v="2020-12-22T17:13:00"/>
    <d v="2020-12-15T06:52:00"/>
    <x v="0"/>
    <x v="0"/>
    <x v="0"/>
    <s v="N/A"/>
    <x v="0"/>
    <n v="5"/>
    <n v="2"/>
    <s v="PROD"/>
    <s v="PRODUCTION"/>
    <s v="Open"/>
    <d v="2020-12-21T00:00:00"/>
    <x v="0"/>
    <m/>
    <m/>
    <m/>
    <m/>
  </r>
  <r>
    <n v="111568"/>
    <d v="2020-12-01T15:29:00"/>
    <s v="Os Installation For Dot Client"/>
    <s v="Pradeep Sharma"/>
    <s v="pradeep.sharma@outlook.com"/>
    <x v="2"/>
    <x v="1"/>
    <x v="1"/>
    <x v="2"/>
    <x v="0"/>
    <d v="2020-12-14T15:38:00"/>
    <d v="2020-12-02T03:29:00"/>
    <x v="0"/>
    <x v="0"/>
    <x v="0"/>
    <s v="N/A"/>
    <x v="4"/>
    <n v="6"/>
    <n v="0"/>
    <s v="NON-PROD"/>
    <s v="TEST"/>
    <s v="New Ticket"/>
    <s v="No SLA for Request"/>
    <x v="1"/>
    <m/>
    <m/>
    <m/>
    <m/>
  </r>
  <r>
    <n v="111533"/>
    <d v="2020-10-09T15:34:00"/>
    <s v="Customized Sql Script In Report - Internet Details"/>
    <s v="Aurora Miller"/>
    <s v="aurora.miller@outlook.com"/>
    <x v="2"/>
    <x v="0"/>
    <x v="1"/>
    <x v="0"/>
    <x v="0"/>
    <d v="2020-12-14T10:35:00"/>
    <d v="2020-10-10T03:34:00"/>
    <x v="0"/>
    <x v="0"/>
    <x v="0"/>
    <s v="N/A"/>
    <x v="0"/>
    <n v="5"/>
    <n v="3"/>
    <s v="NON-PROD"/>
    <s v="PRODUCTION"/>
    <s v="Close Ticket"/>
    <s v="No SLA for Request"/>
    <x v="1"/>
    <m/>
    <m/>
    <m/>
    <m/>
  </r>
  <r>
    <n v="111567"/>
    <d v="2020-12-01T11:55:00"/>
    <s v="Slow Performance And Defective Dell Battery"/>
    <s v="Rex Farris"/>
    <s v="rfarris@yahoo.com"/>
    <x v="2"/>
    <x v="1"/>
    <x v="1"/>
    <x v="2"/>
    <x v="0"/>
    <d v="2020-12-04T17:32:00"/>
    <d v="2020-12-01T23:55:00"/>
    <x v="0"/>
    <x v="0"/>
    <x v="0"/>
    <s v="N/A"/>
    <x v="4"/>
    <n v="5"/>
    <n v="0"/>
    <s v="NON-PROD"/>
    <s v="TEST"/>
    <s v="New Ticket"/>
    <s v="No SLA for Request"/>
    <x v="1"/>
    <m/>
    <m/>
    <m/>
    <m/>
  </r>
  <r>
    <n v="111563"/>
    <d v="2020-11-25T06:59:00"/>
    <s v="Vpn Password Reset"/>
    <s v="Erick White"/>
    <s v="ewhite@yahoo.com"/>
    <x v="2"/>
    <x v="1"/>
    <x v="1"/>
    <x v="0"/>
    <x v="0"/>
    <d v="2020-12-04T14:43:00"/>
    <d v="2020-11-25T18:59:00"/>
    <x v="0"/>
    <x v="0"/>
    <x v="0"/>
    <s v="N/A"/>
    <x v="4"/>
    <n v="4"/>
    <n v="0"/>
    <s v="PROD"/>
    <s v="PRODUCTION"/>
    <s v="New Ticket"/>
    <s v="No SLA for Request"/>
    <x v="1"/>
    <m/>
    <m/>
    <m/>
    <m/>
  </r>
  <r>
    <n v="111547"/>
    <d v="2020-11-09T14:20:00"/>
    <s v="New Vpn Account"/>
    <s v="Erick White"/>
    <s v="ewhite@yahoo.com"/>
    <x v="2"/>
    <x v="1"/>
    <x v="1"/>
    <x v="0"/>
    <x v="0"/>
    <d v="2020-12-04T14:40:00"/>
    <d v="2020-11-10T02:20:00"/>
    <x v="0"/>
    <x v="0"/>
    <x v="0"/>
    <s v="N/A"/>
    <x v="4"/>
    <n v="4"/>
    <n v="0"/>
    <s v="PROD"/>
    <s v="PRODUCTION"/>
    <s v="New Ticket"/>
    <s v="No SLA for Request"/>
    <x v="1"/>
    <m/>
    <m/>
    <m/>
    <m/>
  </r>
  <r>
    <n v="111545"/>
    <d v="2020-11-05T16:09:00"/>
    <s v="Vpn Password Reset"/>
    <s v="Erick White"/>
    <s v="ewhite@yahoo.com"/>
    <x v="2"/>
    <x v="1"/>
    <x v="1"/>
    <x v="0"/>
    <x v="0"/>
    <d v="2020-12-04T14:39:00"/>
    <d v="2020-11-06T04:09:00"/>
    <x v="0"/>
    <x v="0"/>
    <x v="0"/>
    <s v="N/A"/>
    <x v="4"/>
    <n v="3"/>
    <n v="0"/>
    <s v="PROD"/>
    <s v="DEVELOPMENT"/>
    <s v="New Ticket"/>
    <s v="No SLA for Request"/>
    <x v="1"/>
    <m/>
    <m/>
    <m/>
    <m/>
  </r>
  <r>
    <n v="111167"/>
    <d v="2018-12-06T01:07:00"/>
    <s v="Remove Authentication"/>
    <s v="Joseph Reynolds"/>
    <s v="jreynolds@yahoo.com"/>
    <x v="2"/>
    <x v="1"/>
    <x v="1"/>
    <x v="0"/>
    <x v="0"/>
    <d v="2020-12-03T17:30:00"/>
    <d v="2018-12-07T01:07:00"/>
    <x v="0"/>
    <x v="0"/>
    <x v="0"/>
    <s v="N/A"/>
    <x v="4"/>
    <n v="2"/>
    <n v="1"/>
    <s v="N/A"/>
    <s v="N/A"/>
    <s v="New Ticket"/>
    <s v="No SLA for Request"/>
    <x v="1"/>
    <m/>
    <m/>
    <m/>
    <m/>
  </r>
  <r>
    <n v="111542"/>
    <d v="2020-10-26T12:29:00"/>
    <s v="Communication Error With Sql Client(Hris System)"/>
    <s v="Grace Evans"/>
    <s v="gevans@mailiN/Ator.com"/>
    <x v="2"/>
    <x v="1"/>
    <x v="0"/>
    <x v="1"/>
    <x v="0"/>
    <d v="2020-12-03T17:25:00"/>
    <d v="2020-10-27T17:00:00"/>
    <x v="0"/>
    <x v="0"/>
    <x v="0"/>
    <s v="N/A"/>
    <x v="2"/>
    <n v="5"/>
    <n v="0"/>
    <s v="PROD"/>
    <s v="TEST"/>
    <s v="New Ticket"/>
    <d v="2020-11-02T00:00:00"/>
    <x v="0"/>
    <m/>
    <m/>
    <m/>
    <m/>
  </r>
  <r>
    <n v="111429"/>
    <d v="2020-06-01T19:39:00"/>
    <s v="JourN/Al Import Error"/>
    <s v="Kimberly Jones"/>
    <s v="kjones@outlook.com"/>
    <x v="2"/>
    <x v="0"/>
    <x v="1"/>
    <x v="0"/>
    <x v="0"/>
    <d v="2020-12-03T07:54:00"/>
    <d v="2020-06-02T07:39:00"/>
    <x v="0"/>
    <x v="0"/>
    <x v="0"/>
    <s v="N/A"/>
    <x v="1"/>
    <n v="20"/>
    <n v="0"/>
    <s v="NON-PROD"/>
    <s v="TEST"/>
    <s v="Close Ticket"/>
    <s v="No SLA for Request"/>
    <x v="1"/>
    <m/>
    <m/>
    <m/>
    <m/>
  </r>
  <r>
    <n v="111569"/>
    <d v="2020-12-02T18:51:00"/>
    <s v="100% Usage Disk (Windows 10)"/>
    <s v="Belle Garner"/>
    <s v="belle.garner@mailiN/Ator.com"/>
    <x v="2"/>
    <x v="1"/>
    <x v="0"/>
    <x v="2"/>
    <x v="2"/>
    <d v="2020-12-02T18:51:00"/>
    <d v="2020-12-03T06:51:00"/>
    <x v="1"/>
    <x v="0"/>
    <x v="3"/>
    <s v="N/A"/>
    <x v="2"/>
    <n v="3"/>
    <n v="3"/>
    <s v="NON-PROD"/>
    <s v="TEST"/>
    <s v="New Ticket"/>
    <d v="2020-12-09T00:00:00"/>
    <x v="2"/>
    <m/>
    <m/>
    <m/>
    <m/>
  </r>
  <r>
    <n v="111174"/>
    <d v="2019-04-10T14:47:00"/>
    <s v="Jde Prod - Web Components Status"/>
    <s v="CheeN/A Carols"/>
    <s v="cheeN/A.carols@mailiN/Ator.com"/>
    <x v="2"/>
    <x v="0"/>
    <x v="0"/>
    <x v="0"/>
    <x v="2"/>
    <d v="2020-12-01T17:15:00"/>
    <d v="2019-04-15T14:47:00"/>
    <x v="1"/>
    <x v="0"/>
    <x v="3"/>
    <s v="N/A"/>
    <x v="1"/>
    <n v="61"/>
    <n v="0"/>
    <s v="PROD"/>
    <s v="PRODUCTION"/>
    <s v="New Ticket"/>
    <d v="2019-04-17T00:00:00"/>
    <x v="0"/>
    <m/>
    <m/>
    <m/>
    <m/>
  </r>
  <r>
    <n v="111566"/>
    <d v="2020-12-01T11:51:00"/>
    <s v="Slow Performance And Defective Dell Battery"/>
    <s v="Rex Farris"/>
    <s v="rfarris@yahoo.com"/>
    <x v="2"/>
    <x v="1"/>
    <x v="1"/>
    <x v="2"/>
    <x v="2"/>
    <d v="2020-12-01T11:51:00"/>
    <d v="2020-12-01T23:51:00"/>
    <x v="1"/>
    <x v="0"/>
    <x v="3"/>
    <s v="N/A"/>
    <x v="4"/>
    <n v="5"/>
    <n v="0"/>
    <s v="NON-PROD"/>
    <s v="TEST"/>
    <s v="New Ticket"/>
    <s v="No SLA for Request"/>
    <x v="1"/>
    <m/>
    <m/>
    <m/>
    <m/>
  </r>
  <r>
    <n v="111559"/>
    <d v="2020-11-19T09:35:00"/>
    <s v="Jde Downtime (Post Issue Ticket)"/>
    <s v="Vic Vincent"/>
    <s v="vic.vincent@yahoo.com"/>
    <x v="2"/>
    <x v="0"/>
    <x v="0"/>
    <x v="0"/>
    <x v="0"/>
    <d v="2020-11-24T17:39:00"/>
    <d v="2020-11-19T13:35:00"/>
    <x v="0"/>
    <x v="0"/>
    <x v="0"/>
    <s v="N/A"/>
    <x v="1"/>
    <n v="7"/>
    <n v="2"/>
    <s v="PROD"/>
    <s v="PRODUCTION"/>
    <s v="Open"/>
    <d v="2020-11-26T00:00:00"/>
    <x v="2"/>
    <m/>
    <m/>
    <m/>
    <m/>
  </r>
  <r>
    <n v="111480"/>
    <d v="2020-08-10T10:17:00"/>
    <s v="Openvpn Account"/>
    <s v="Bladimir MacdoN/Ald"/>
    <s v="bmacdoN/Ald@outlook.com"/>
    <x v="2"/>
    <x v="0"/>
    <x v="1"/>
    <x v="0"/>
    <x v="0"/>
    <d v="2020-11-23T09:20:00"/>
    <d v="2020-08-10T22:17:00"/>
    <x v="0"/>
    <x v="0"/>
    <x v="0"/>
    <s v="N/A"/>
    <x v="3"/>
    <n v="6"/>
    <n v="1"/>
    <s v="PROD"/>
    <s v="PRODUCTION"/>
    <s v="New Ticket"/>
    <s v="No SLA for Request"/>
    <x v="1"/>
    <m/>
    <m/>
    <m/>
    <m/>
  </r>
  <r>
    <n v="111520"/>
    <d v="2020-10-05T17:07:00"/>
    <s v="Odsm Issue"/>
    <s v="Aurora Miller"/>
    <s v="aurora.miller@outlook.com"/>
    <x v="2"/>
    <x v="0"/>
    <x v="0"/>
    <x v="0"/>
    <x v="0"/>
    <d v="2020-11-18T17:43:00"/>
    <s v="N/A"/>
    <x v="0"/>
    <x v="0"/>
    <x v="0"/>
    <s v="N/A"/>
    <x v="0"/>
    <n v="8"/>
    <n v="2"/>
    <s v="PROD"/>
    <s v="PRODUCTION"/>
    <s v="Close Ticket"/>
    <d v="2020-10-12T00:00:00"/>
    <x v="0"/>
    <m/>
    <m/>
    <m/>
    <m/>
  </r>
  <r>
    <n v="111548"/>
    <d v="2020-11-09T15:04:00"/>
    <s v="Request Status 'No MaN/Ager'"/>
    <s v="Riza Richardson"/>
    <s v="rrichardson@mailiN/Ator.com"/>
    <x v="2"/>
    <x v="0"/>
    <x v="0"/>
    <x v="0"/>
    <x v="0"/>
    <d v="2020-11-16T14:57:00"/>
    <d v="2020-11-10T03:04:00"/>
    <x v="0"/>
    <x v="0"/>
    <x v="0"/>
    <s v="N/A"/>
    <x v="1"/>
    <n v="8"/>
    <n v="1"/>
    <s v="NON-PROD"/>
    <s v="TEST"/>
    <s v="Close Ticket"/>
    <d v="2020-11-16T00:00:00"/>
    <x v="0"/>
    <m/>
    <m/>
    <m/>
    <m/>
  </r>
  <r>
    <n v="111541"/>
    <d v="2020-10-26T11:43:00"/>
    <s v="Laptop Running Slow"/>
    <s v="Grace Evans"/>
    <s v="gevans@mailiN/Ator.com"/>
    <x v="2"/>
    <x v="1"/>
    <x v="0"/>
    <x v="1"/>
    <x v="0"/>
    <d v="2020-11-10T22:20:00"/>
    <d v="2020-10-27T17:00:00"/>
    <x v="0"/>
    <x v="0"/>
    <x v="0"/>
    <s v="N/A"/>
    <x v="2"/>
    <n v="4"/>
    <n v="0"/>
    <s v="PROD"/>
    <s v="PRODUCTION"/>
    <s v="New Ticket"/>
    <d v="2020-11-02T00:00:00"/>
    <x v="0"/>
    <m/>
    <m/>
    <m/>
    <m/>
  </r>
  <r>
    <n v="111555"/>
    <d v="2020-11-10T22:14:00"/>
    <s v="Test"/>
    <s v="CheeN/A Carols"/>
    <s v="cheeN/A.carols@mailiN/Ator.com"/>
    <x v="2"/>
    <x v="1"/>
    <x v="1"/>
    <x v="0"/>
    <x v="2"/>
    <d v="2020-11-10T22:14:00"/>
    <d v="2020-11-11T10:14:00"/>
    <x v="1"/>
    <x v="1"/>
    <x v="3"/>
    <s v="N/A"/>
    <x v="4"/>
    <n v="1"/>
    <n v="0"/>
    <s v="PROD"/>
    <s v="TEST"/>
    <s v="New Ticket"/>
    <s v="No SLA for Request"/>
    <x v="1"/>
    <m/>
    <m/>
    <m/>
    <m/>
  </r>
  <r>
    <n v="111482"/>
    <d v="2020-08-12T22:10:00"/>
    <s v="Tasks And Targets Editing (Spms)"/>
    <s v="Jane Wilberts"/>
    <s v="jwilberts@mailiN/Ator.com"/>
    <x v="2"/>
    <x v="0"/>
    <x v="1"/>
    <x v="0"/>
    <x v="0"/>
    <d v="2020-11-10T09:47:00"/>
    <d v="2020-08-13T10:10:00"/>
    <x v="0"/>
    <x v="0"/>
    <x v="0"/>
    <s v="N/A"/>
    <x v="1"/>
    <n v="47"/>
    <n v="4"/>
    <s v="NON-PROD"/>
    <s v="TEST"/>
    <s v="New Ticket"/>
    <s v="No SLA for Request"/>
    <x v="1"/>
    <m/>
    <m/>
    <m/>
    <m/>
  </r>
  <r>
    <n v="111534"/>
    <d v="2020-10-15T14:27:00"/>
    <s v="Process Multiple Payroll Runs Of Employees"/>
    <s v="Melody Thompson"/>
    <s v="mthompson@yahoo.com"/>
    <x v="2"/>
    <x v="0"/>
    <x v="1"/>
    <x v="0"/>
    <x v="0"/>
    <d v="2020-11-09T21:04:00"/>
    <s v="N/A"/>
    <x v="0"/>
    <x v="0"/>
    <x v="0"/>
    <s v="N/A"/>
    <x v="1"/>
    <n v="8"/>
    <n v="0"/>
    <s v="NON-PROD"/>
    <s v="TEST"/>
    <s v="New Ticket"/>
    <s v="No SLA for Request"/>
    <x v="1"/>
    <m/>
    <m/>
    <m/>
    <m/>
  </r>
  <r>
    <n v="111505"/>
    <d v="2020-09-23T15:30:00"/>
    <s v="Buffer Error In Class Cost 110"/>
    <s v="Jasper John"/>
    <s v="jasper.john@gmail.com"/>
    <x v="2"/>
    <x v="0"/>
    <x v="0"/>
    <x v="0"/>
    <x v="0"/>
    <d v="2020-11-03T17:42:00"/>
    <s v="N/A"/>
    <x v="0"/>
    <x v="0"/>
    <x v="0"/>
    <s v="N/A"/>
    <x v="0"/>
    <n v="19"/>
    <n v="5"/>
    <s v="PROD"/>
    <s v="PRODUCTION"/>
    <s v="New Ticket"/>
    <d v="2020-09-30T00:00:00"/>
    <x v="0"/>
    <m/>
    <m/>
    <m/>
    <m/>
  </r>
  <r>
    <n v="111544"/>
    <d v="2020-10-28T09:34:00"/>
    <s v="Laptop Memory Upgrade"/>
    <s v="Grace Evans"/>
    <s v="gevans@mailiN/Ator.com"/>
    <x v="2"/>
    <x v="1"/>
    <x v="0"/>
    <x v="2"/>
    <x v="0"/>
    <d v="2020-11-03T17:31:00"/>
    <d v="2020-10-29T17:00:00"/>
    <x v="0"/>
    <x v="0"/>
    <x v="0"/>
    <s v="N/A"/>
    <x v="2"/>
    <n v="4"/>
    <n v="0"/>
    <s v="NON-PROD"/>
    <s v="TEST"/>
    <s v="New Ticket"/>
    <d v="2020-11-04T00:00:00"/>
    <x v="2"/>
    <m/>
    <m/>
    <m/>
    <m/>
  </r>
  <r>
    <n v="111468"/>
    <d v="2020-07-09T15:52:00"/>
    <s v="Defective Hardisk"/>
    <s v="Paul Smith"/>
    <s v="paul.smith@mailiN/Ator.com"/>
    <x v="2"/>
    <x v="1"/>
    <x v="0"/>
    <x v="1"/>
    <x v="0"/>
    <d v="2020-10-30T17:04:00"/>
    <d v="2020-07-10T03:52:00"/>
    <x v="0"/>
    <x v="0"/>
    <x v="0"/>
    <s v="N/A"/>
    <x v="4"/>
    <n v="4"/>
    <n v="0"/>
    <s v="NON-PROD"/>
    <s v="DEVELOPMENT"/>
    <s v="New Ticket"/>
    <d v="2020-07-16T00:00:00"/>
    <x v="0"/>
    <m/>
    <m/>
    <m/>
    <m/>
  </r>
  <r>
    <n v="111538"/>
    <d v="2020-10-20T14:34:00"/>
    <s v="Microsoft Office Installation And Firmware Update"/>
    <s v="Grace Evans"/>
    <s v="gevans@mailiN/Ator.com"/>
    <x v="2"/>
    <x v="1"/>
    <x v="0"/>
    <x v="2"/>
    <x v="0"/>
    <d v="2020-10-23T20:48:00"/>
    <d v="2020-10-21T17:00:00"/>
    <x v="0"/>
    <x v="0"/>
    <x v="0"/>
    <s v="N/A"/>
    <x v="2"/>
    <n v="4"/>
    <n v="0"/>
    <s v="NON-PROD"/>
    <s v="TEST"/>
    <s v="New Ticket"/>
    <d v="2020-10-27T00:00:00"/>
    <x v="2"/>
    <m/>
    <m/>
    <m/>
    <m/>
  </r>
  <r>
    <n v="111536"/>
    <d v="2020-10-19T13:56:00"/>
    <s v="Google Drive Not Working"/>
    <s v="Atom Short"/>
    <s v="atom.short@gmail.com"/>
    <x v="2"/>
    <x v="1"/>
    <x v="0"/>
    <x v="2"/>
    <x v="0"/>
    <d v="2020-10-23T20:47:00"/>
    <d v="2020-10-20T17:00:00"/>
    <x v="0"/>
    <x v="0"/>
    <x v="0"/>
    <s v="N/A"/>
    <x v="2"/>
    <n v="4"/>
    <n v="0"/>
    <s v="NON-PROD"/>
    <s v="TEST"/>
    <s v="New Ticket"/>
    <d v="2020-10-26T00:00:00"/>
    <x v="2"/>
    <m/>
    <m/>
    <m/>
    <m/>
  </r>
  <r>
    <n v="111516"/>
    <d v="2020-10-05T09:36:00"/>
    <s v="Desktop Service"/>
    <s v="Pradeep Sharma"/>
    <s v="pradeep.sharma@outlook.com"/>
    <x v="2"/>
    <x v="1"/>
    <x v="0"/>
    <x v="1"/>
    <x v="0"/>
    <d v="2020-10-23T20:46:00"/>
    <d v="2020-10-06T17:00:00"/>
    <x v="0"/>
    <x v="0"/>
    <x v="0"/>
    <s v="N/A"/>
    <x v="2"/>
    <n v="4"/>
    <n v="0"/>
    <s v="NON-PROD"/>
    <s v="TEST"/>
    <s v="New Ticket"/>
    <d v="2020-10-12T00:00:00"/>
    <x v="0"/>
    <m/>
    <m/>
    <m/>
    <m/>
  </r>
  <r>
    <n v="111509"/>
    <d v="2020-09-28T13:36:00"/>
    <s v="Old System Unit Parts And Unused Laptops"/>
    <s v="Pradeep Sharma"/>
    <s v="pradeep.sharma@outlook.com"/>
    <x v="2"/>
    <x v="1"/>
    <x v="1"/>
    <x v="2"/>
    <x v="0"/>
    <d v="2020-10-23T20:44:00"/>
    <d v="2020-09-29T17:00:00"/>
    <x v="0"/>
    <x v="0"/>
    <x v="0"/>
    <s v="N/A"/>
    <x v="2"/>
    <n v="4"/>
    <n v="0"/>
    <s v="NON-PROD"/>
    <s v="TEST"/>
    <s v="New Ticket"/>
    <s v="No SLA for Request"/>
    <x v="1"/>
    <m/>
    <m/>
    <m/>
    <m/>
  </r>
  <r>
    <n v="111524"/>
    <d v="2020-10-05T19:00:00"/>
    <s v="Login Issues"/>
    <s v="Aurora Miller"/>
    <s v="aurora.miller@outlook.com"/>
    <x v="2"/>
    <x v="0"/>
    <x v="0"/>
    <x v="0"/>
    <x v="0"/>
    <d v="2020-10-16T14:00:00"/>
    <s v="N/A"/>
    <x v="0"/>
    <x v="0"/>
    <x v="0"/>
    <s v="N/A"/>
    <x v="0"/>
    <n v="8"/>
    <n v="3"/>
    <s v="PROD"/>
    <s v="PRODUCTION"/>
    <s v="New Ticket"/>
    <d v="2020-10-12T00:00:00"/>
    <x v="0"/>
    <m/>
    <m/>
    <m/>
    <m/>
  </r>
  <r>
    <n v="111525"/>
    <d v="2020-10-05T19:35:00"/>
    <s v="Slow Performance Issue"/>
    <s v="Aurora Miller"/>
    <s v="aurora.miller@outlook.com"/>
    <x v="2"/>
    <x v="0"/>
    <x v="0"/>
    <x v="0"/>
    <x v="0"/>
    <d v="2020-10-16T13:57:00"/>
    <s v="N/A"/>
    <x v="0"/>
    <x v="0"/>
    <x v="0"/>
    <s v="N/A"/>
    <x v="0"/>
    <n v="6"/>
    <n v="2"/>
    <s v="PROD"/>
    <s v="PRODUCTION"/>
    <s v="New Ticket"/>
    <d v="2020-10-12T00:00:00"/>
    <x v="0"/>
    <m/>
    <m/>
    <m/>
    <m/>
  </r>
  <r>
    <n v="111526"/>
    <d v="2020-10-05T20:02:00"/>
    <s v="Sending Email Notification"/>
    <s v="Aurora Miller"/>
    <s v="aurora.miller@outlook.com"/>
    <x v="2"/>
    <x v="0"/>
    <x v="0"/>
    <x v="0"/>
    <x v="0"/>
    <d v="2020-10-16T13:56:00"/>
    <s v="N/A"/>
    <x v="0"/>
    <x v="0"/>
    <x v="0"/>
    <s v="N/A"/>
    <x v="0"/>
    <n v="6"/>
    <n v="2"/>
    <s v="PROD"/>
    <s v="PRODUCTION"/>
    <s v="New Ticket"/>
    <d v="2020-10-12T00:00:00"/>
    <x v="0"/>
    <m/>
    <m/>
    <m/>
    <m/>
  </r>
  <r>
    <n v="111523"/>
    <d v="2020-10-05T18:58:00"/>
    <s v="Odsm Issue"/>
    <s v="Aurora Miller"/>
    <s v="aurora.miller@outlook.com"/>
    <x v="2"/>
    <x v="0"/>
    <x v="0"/>
    <x v="0"/>
    <x v="0"/>
    <d v="2020-10-14T17:20:00"/>
    <s v="N/A"/>
    <x v="0"/>
    <x v="0"/>
    <x v="0"/>
    <s v="N/A"/>
    <x v="0"/>
    <n v="6"/>
    <n v="2"/>
    <s v="PROD"/>
    <s v="PRODUCTION"/>
    <s v="New Ticket"/>
    <d v="2020-10-12T00:00:00"/>
    <x v="0"/>
    <m/>
    <m/>
    <m/>
    <m/>
  </r>
  <r>
    <n v="111522"/>
    <d v="2020-10-05T18:56:00"/>
    <s v="Password Issue"/>
    <s v="Aurora Miller"/>
    <s v="aurora.miller@outlook.com"/>
    <x v="2"/>
    <x v="0"/>
    <x v="0"/>
    <x v="0"/>
    <x v="0"/>
    <d v="2020-10-14T17:19:00"/>
    <s v="N/A"/>
    <x v="0"/>
    <x v="0"/>
    <x v="0"/>
    <s v="N/A"/>
    <x v="0"/>
    <n v="6"/>
    <n v="2"/>
    <s v="PROD"/>
    <s v="PRODUCTION"/>
    <s v="New Ticket"/>
    <d v="2020-10-12T00:00:00"/>
    <x v="0"/>
    <m/>
    <m/>
    <m/>
    <m/>
  </r>
  <r>
    <n v="111521"/>
    <d v="2020-10-05T17:17:00"/>
    <s v="Login Issues"/>
    <s v="Aurora Miller"/>
    <s v="aurora.miller@outlook.com"/>
    <x v="2"/>
    <x v="0"/>
    <x v="0"/>
    <x v="0"/>
    <x v="0"/>
    <d v="2020-10-14T17:18:00"/>
    <s v="N/A"/>
    <x v="0"/>
    <x v="0"/>
    <x v="0"/>
    <s v="N/A"/>
    <x v="0"/>
    <n v="7"/>
    <n v="2"/>
    <s v="PROD"/>
    <s v="PRODUCTION"/>
    <s v="Close Ticket"/>
    <d v="2020-10-12T00:00:00"/>
    <x v="0"/>
    <m/>
    <m/>
    <m/>
    <m/>
  </r>
  <r>
    <n v="111519"/>
    <d v="2020-10-05T16:10:00"/>
    <s v="Password Reset Issue"/>
    <s v="Aurora Miller"/>
    <s v="aurora.miller@outlook.com"/>
    <x v="2"/>
    <x v="0"/>
    <x v="0"/>
    <x v="0"/>
    <x v="0"/>
    <d v="2020-10-14T17:17:00"/>
    <s v="N/A"/>
    <x v="0"/>
    <x v="0"/>
    <x v="0"/>
    <s v="N/A"/>
    <x v="0"/>
    <n v="9"/>
    <n v="3"/>
    <s v="PROD"/>
    <s v="PRODUCTION"/>
    <s v="Close Ticket"/>
    <d v="2020-10-12T00:00:00"/>
    <x v="0"/>
    <m/>
    <m/>
    <m/>
    <m/>
  </r>
  <r>
    <n v="111507"/>
    <d v="2020-09-24T10:11:00"/>
    <s v="No Success When Generating Reports"/>
    <s v="Aurora Miller"/>
    <s v="aurora.miller@outlook.com"/>
    <x v="2"/>
    <x v="0"/>
    <x v="0"/>
    <x v="0"/>
    <x v="0"/>
    <d v="2020-10-14T17:15:00"/>
    <d v="2020-09-24T22:11:00"/>
    <x v="0"/>
    <x v="0"/>
    <x v="0"/>
    <s v="N/A"/>
    <x v="0"/>
    <n v="16"/>
    <n v="3"/>
    <s v="PROD"/>
    <s v="PRODUCTION"/>
    <s v="New Ticket"/>
    <d v="2020-10-01T00:00:00"/>
    <x v="0"/>
    <m/>
    <m/>
    <m/>
    <m/>
  </r>
  <r>
    <n v="111484"/>
    <d v="2020-08-14T10:00:00"/>
    <s v="Unique Value For Transaction Flexfield Issue"/>
    <s v="Kenex Willows"/>
    <s v="kwillows@yahoo.com"/>
    <x v="2"/>
    <x v="0"/>
    <x v="1"/>
    <x v="0"/>
    <x v="0"/>
    <d v="2020-10-14T17:13:00"/>
    <d v="2020-08-14T22:00:00"/>
    <x v="0"/>
    <x v="0"/>
    <x v="0"/>
    <s v="N/A"/>
    <x v="1"/>
    <n v="12"/>
    <n v="0"/>
    <s v="PROD"/>
    <s v="TEST"/>
    <s v="New Ticket"/>
    <s v="No SLA for Request"/>
    <x v="1"/>
    <m/>
    <m/>
    <m/>
    <m/>
  </r>
  <r>
    <n v="111527"/>
    <d v="2020-10-06T11:31:00"/>
    <s v="Sophos Firewall Support"/>
    <s v="Charles Thomas"/>
    <s v="charles.thomas@outlook.com"/>
    <x v="2"/>
    <x v="1"/>
    <x v="0"/>
    <x v="1"/>
    <x v="0"/>
    <d v="2020-10-09T18:17:00"/>
    <d v="2020-10-07T17:00:00"/>
    <x v="0"/>
    <x v="0"/>
    <x v="0"/>
    <s v="N/A"/>
    <x v="2"/>
    <n v="6"/>
    <n v="1"/>
    <s v="NON-PROD"/>
    <s v="TEST"/>
    <s v="New Ticket"/>
    <d v="2020-10-13T00:00:00"/>
    <x v="2"/>
    <m/>
    <m/>
    <m/>
    <m/>
  </r>
  <r>
    <n v="111510"/>
    <d v="2020-09-28T14:26:00"/>
    <s v="Hr Technical AN/Alyzer Output"/>
    <s v="Troy Daniels"/>
    <s v="troy.daniels@outlook.com"/>
    <x v="2"/>
    <x v="0"/>
    <x v="1"/>
    <x v="0"/>
    <x v="0"/>
    <d v="2020-10-07T15:58:00"/>
    <d v="2020-09-29T02:26:00"/>
    <x v="0"/>
    <x v="0"/>
    <x v="0"/>
    <s v="N/A"/>
    <x v="1"/>
    <n v="8"/>
    <n v="5"/>
    <s v="NON-PROD"/>
    <s v="TEST"/>
    <s v="Close Ticket"/>
    <s v="No SLA for Request"/>
    <x v="1"/>
    <m/>
    <m/>
    <m/>
    <m/>
  </r>
  <r>
    <n v="111512"/>
    <d v="2020-09-30T11:38:00"/>
    <s v="Dell Soppotassist Has Detected A Failing Component"/>
    <s v="Paul Rivers"/>
    <s v="privers@mailiN/Ator.com"/>
    <x v="2"/>
    <x v="1"/>
    <x v="0"/>
    <x v="1"/>
    <x v="2"/>
    <d v="2020-09-30T11:38:00"/>
    <d v="2020-10-01T17:00:00"/>
    <x v="1"/>
    <x v="0"/>
    <x v="3"/>
    <s v="N/A"/>
    <x v="2"/>
    <n v="2"/>
    <n v="0"/>
    <s v="NON-PROD"/>
    <s v="TEST"/>
    <s v="New Ticket"/>
    <d v="2020-10-07T00:00:00"/>
    <x v="2"/>
    <m/>
    <m/>
    <m/>
    <m/>
  </r>
  <r>
    <n v="111504"/>
    <d v="2020-09-14T13:14:00"/>
    <s v="Hp Printer Not Working"/>
    <s v="Pradeep Sharma"/>
    <s v="pradeep.sharma@outlook.com"/>
    <x v="2"/>
    <x v="1"/>
    <x v="0"/>
    <x v="2"/>
    <x v="0"/>
    <d v="2020-09-25T09:37:00"/>
    <d v="2020-09-15T17:00:00"/>
    <x v="0"/>
    <x v="0"/>
    <x v="0"/>
    <s v="N/A"/>
    <x v="2"/>
    <n v="5"/>
    <n v="0"/>
    <s v="NON-PROD"/>
    <s v="TEST"/>
    <s v="New Ticket"/>
    <d v="2020-09-21T00:00:00"/>
    <x v="0"/>
    <m/>
    <m/>
    <m/>
    <m/>
  </r>
  <r>
    <n v="111475"/>
    <d v="2020-07-21T16:48:00"/>
    <s v="Leave MaN/Agement - Leave Balance Issue"/>
    <s v="Kian Rogers"/>
    <s v="krogers@mailiN/Ator.com"/>
    <x v="2"/>
    <x v="0"/>
    <x v="1"/>
    <x v="0"/>
    <x v="0"/>
    <d v="2020-09-21T17:38:00"/>
    <d v="2020-07-22T04:48:00"/>
    <x v="0"/>
    <x v="0"/>
    <x v="0"/>
    <s v="N/A"/>
    <x v="1"/>
    <n v="12"/>
    <n v="3"/>
    <s v="NON-PROD"/>
    <s v="TEST"/>
    <s v="Close Ticket"/>
    <s v="No SLA for Request"/>
    <x v="1"/>
    <m/>
    <m/>
    <m/>
    <m/>
  </r>
  <r>
    <n v="111499"/>
    <d v="2020-09-02T14:13:00"/>
    <s v="Open Udp Ports 161 And 162"/>
    <s v="Erick White"/>
    <s v="ewhite@yahoo.com"/>
    <x v="2"/>
    <x v="1"/>
    <x v="1"/>
    <x v="0"/>
    <x v="0"/>
    <d v="2020-09-21T17:03:00"/>
    <d v="2020-09-03T02:13:00"/>
    <x v="0"/>
    <x v="0"/>
    <x v="0"/>
    <s v="N/A"/>
    <x v="7"/>
    <n v="4"/>
    <n v="0"/>
    <s v="PROD"/>
    <s v="PRODUCTION"/>
    <s v="New Ticket"/>
    <s v="No SLA for Request"/>
    <x v="1"/>
    <m/>
    <m/>
    <m/>
    <m/>
  </r>
  <r>
    <n v="111473"/>
    <d v="2020-07-20T16:19:00"/>
    <s v="Approval - PersoN/Al Information (Basic Details)"/>
    <s v="Troy Daniels"/>
    <s v="troy.daniels@outlook.com"/>
    <x v="2"/>
    <x v="0"/>
    <x v="0"/>
    <x v="0"/>
    <x v="0"/>
    <d v="2020-09-16T17:51:00"/>
    <d v="2020-07-21T04:19:00"/>
    <x v="0"/>
    <x v="0"/>
    <x v="0"/>
    <s v="N/A"/>
    <x v="1"/>
    <n v="49"/>
    <n v="5"/>
    <s v="NON-PROD"/>
    <s v="DEVELOPMENT"/>
    <s v="Close Ticket"/>
    <d v="2020-07-27T00:00:00"/>
    <x v="0"/>
    <m/>
    <m/>
    <m/>
    <m/>
  </r>
  <r>
    <n v="111497"/>
    <d v="2020-08-27T07:29:00"/>
    <s v="New Vpn Account"/>
    <s v="Erick White"/>
    <s v="ewhite@yahoo.com"/>
    <x v="2"/>
    <x v="1"/>
    <x v="1"/>
    <x v="0"/>
    <x v="0"/>
    <d v="2020-09-11T17:18:00"/>
    <d v="2020-08-27T19:29:00"/>
    <x v="0"/>
    <x v="0"/>
    <x v="0"/>
    <s v="N/A"/>
    <x v="7"/>
    <n v="4"/>
    <n v="0"/>
    <s v="PROD"/>
    <s v="PRODUCTION"/>
    <s v="New Ticket"/>
    <s v="No SLA for Request"/>
    <x v="1"/>
    <m/>
    <m/>
    <m/>
    <m/>
  </r>
  <r>
    <n v="111500"/>
    <d v="2020-09-04T09:18:00"/>
    <s v="Error In Log-In"/>
    <s v="Jasper John"/>
    <s v="jasper.john@gmail.com"/>
    <x v="2"/>
    <x v="0"/>
    <x v="0"/>
    <x v="0"/>
    <x v="0"/>
    <d v="2020-09-11T14:40:00"/>
    <d v="2020-09-04T21:18:00"/>
    <x v="0"/>
    <x v="0"/>
    <x v="0"/>
    <s v="N/A"/>
    <x v="0"/>
    <n v="5"/>
    <n v="1"/>
    <s v="PROD"/>
    <s v="PRODUCTION"/>
    <s v="New Ticket"/>
    <d v="2020-09-11T00:00:00"/>
    <x v="0"/>
    <m/>
    <m/>
    <m/>
    <m/>
  </r>
  <r>
    <n v="111494"/>
    <d v="2020-08-23T12:03:00"/>
    <s v="Secure Connection Failed Page - Test Instance"/>
    <s v="Riza Richardson"/>
    <s v="rrichardson@mailiN/Ator.com"/>
    <x v="2"/>
    <x v="0"/>
    <x v="0"/>
    <x v="0"/>
    <x v="0"/>
    <d v="2020-09-09T17:51:00"/>
    <d v="2020-08-24T00:03:00"/>
    <x v="0"/>
    <x v="0"/>
    <x v="0"/>
    <s v="N/A"/>
    <x v="1"/>
    <n v="7"/>
    <n v="1"/>
    <s v="NON-PROD"/>
    <s v="TEST"/>
    <s v="Close Ticket"/>
    <d v="2020-08-28T00:00:00"/>
    <x v="0"/>
    <m/>
    <m/>
    <m/>
    <m/>
  </r>
  <r>
    <n v="111496"/>
    <d v="2020-08-25T11:01:00"/>
    <s v="Open Ports Fro Ftp Data Connection"/>
    <s v="Erick White"/>
    <s v="ewhite@yahoo.com"/>
    <x v="2"/>
    <x v="1"/>
    <x v="1"/>
    <x v="0"/>
    <x v="0"/>
    <d v="2020-09-04T17:25:00"/>
    <d v="2020-08-25T23:01:00"/>
    <x v="0"/>
    <x v="0"/>
    <x v="0"/>
    <s v="N/A"/>
    <x v="7"/>
    <n v="6"/>
    <n v="0"/>
    <s v="PROD"/>
    <s v="PRODUCTION"/>
    <s v="New Ticket"/>
    <s v="No SLA for Request"/>
    <x v="1"/>
    <m/>
    <m/>
    <m/>
    <m/>
  </r>
  <r>
    <n v="111492"/>
    <d v="2020-08-20T12:39:00"/>
    <s v="Vpn Accounts Creation"/>
    <s v="Erick White"/>
    <s v="ewhite@yahoo.com"/>
    <x v="2"/>
    <x v="1"/>
    <x v="1"/>
    <x v="0"/>
    <x v="0"/>
    <d v="2020-09-04T17:25:00"/>
    <d v="2020-08-21T00:39:00"/>
    <x v="0"/>
    <x v="0"/>
    <x v="0"/>
    <s v="N/A"/>
    <x v="7"/>
    <n v="5"/>
    <n v="0"/>
    <s v="PROD"/>
    <s v="PRODUCTION"/>
    <s v="New Ticket"/>
    <s v="No SLA for Request"/>
    <x v="1"/>
    <m/>
    <m/>
    <m/>
    <m/>
  </r>
  <r>
    <n v="111490"/>
    <d v="2020-08-19T12:14:00"/>
    <s v="Request AdditioN/Al Storage"/>
    <s v="Erick White"/>
    <s v="ewhite@yahoo.com"/>
    <x v="2"/>
    <x v="1"/>
    <x v="1"/>
    <x v="0"/>
    <x v="0"/>
    <d v="2020-08-26T17:14:00"/>
    <d v="2020-08-20T00:14:00"/>
    <x v="0"/>
    <x v="0"/>
    <x v="0"/>
    <s v="N/A"/>
    <x v="7"/>
    <n v="5"/>
    <n v="0"/>
    <s v="PROD"/>
    <s v="PRODUCTION"/>
    <s v="New Ticket"/>
    <s v="No SLA for Request"/>
    <x v="1"/>
    <m/>
    <m/>
    <m/>
    <m/>
  </r>
  <r>
    <n v="111489"/>
    <d v="2020-08-18T08:26:00"/>
    <s v="Open Ip Ports"/>
    <s v="Erick White"/>
    <s v="ewhite@yahoo.com"/>
    <x v="2"/>
    <x v="1"/>
    <x v="1"/>
    <x v="0"/>
    <x v="0"/>
    <d v="2020-08-24T18:06:00"/>
    <d v="2020-08-18T20:26:00"/>
    <x v="0"/>
    <x v="0"/>
    <x v="0"/>
    <s v="N/A"/>
    <x v="7"/>
    <n v="5"/>
    <n v="0"/>
    <s v="PROD"/>
    <s v="PRODUCTION"/>
    <s v="New Ticket"/>
    <s v="No SLA for Request"/>
    <x v="1"/>
    <m/>
    <m/>
    <m/>
    <m/>
  </r>
  <r>
    <n v="111486"/>
    <d v="2020-08-14T18:27:00"/>
    <s v="Vpn Accounts Creation"/>
    <s v="Erick White"/>
    <s v="ewhite@yahoo.com"/>
    <x v="2"/>
    <x v="1"/>
    <x v="1"/>
    <x v="0"/>
    <x v="0"/>
    <d v="2020-08-20T16:38:00"/>
    <d v="2020-08-15T06:27:00"/>
    <x v="0"/>
    <x v="0"/>
    <x v="0"/>
    <s v="N/A"/>
    <x v="7"/>
    <n v="4"/>
    <n v="0"/>
    <s v="PROD"/>
    <s v="PRODUCTION"/>
    <s v="New Ticket"/>
    <s v="No SLA for Request"/>
    <x v="1"/>
    <m/>
    <m/>
    <m/>
    <m/>
  </r>
  <r>
    <n v="111485"/>
    <d v="2020-08-14T12:35:00"/>
    <s v="Vpn Accounts"/>
    <s v="Erick White"/>
    <s v="ewhite@yahoo.com"/>
    <x v="2"/>
    <x v="1"/>
    <x v="1"/>
    <x v="0"/>
    <x v="0"/>
    <d v="2020-08-20T16:37:00"/>
    <d v="2020-08-15T00:35:00"/>
    <x v="0"/>
    <x v="0"/>
    <x v="0"/>
    <s v="N/A"/>
    <x v="4"/>
    <n v="5"/>
    <n v="0"/>
    <s v="PROD"/>
    <s v="PRODUCTION"/>
    <s v="New Ticket"/>
    <s v="No SLA for Request"/>
    <x v="1"/>
    <m/>
    <m/>
    <m/>
    <m/>
  </r>
  <r>
    <n v="111432"/>
    <d v="2020-06-03T14:14:00"/>
    <s v="Request To Restart Again The Sap Dev Server"/>
    <s v="Aurora Miller"/>
    <s v="aurora.miller@outlook.com"/>
    <x v="2"/>
    <x v="0"/>
    <x v="1"/>
    <x v="0"/>
    <x v="0"/>
    <d v="2020-08-05T17:05:00"/>
    <d v="2020-06-04T02:14:00"/>
    <x v="0"/>
    <x v="0"/>
    <x v="0"/>
    <s v="N/A"/>
    <x v="0"/>
    <n v="5"/>
    <n v="0"/>
    <s v="NON-PROD"/>
    <s v="DEVELOPMENT"/>
    <s v="New Ticket"/>
    <s v="No SLA for Request"/>
    <x v="1"/>
    <m/>
    <m/>
    <m/>
    <m/>
  </r>
  <r>
    <n v="111418"/>
    <d v="2020-04-29T13:26:00"/>
    <s v="Altering Field - ExterN/Al Learning"/>
    <s v="Troy Daniels"/>
    <s v="troy.daniels@outlook.com"/>
    <x v="2"/>
    <x v="0"/>
    <x v="0"/>
    <x v="0"/>
    <x v="0"/>
    <d v="2020-08-03T12:12:00"/>
    <s v="N/A"/>
    <x v="0"/>
    <x v="0"/>
    <x v="0"/>
    <s v="N/A"/>
    <x v="1"/>
    <n v="7"/>
    <n v="1"/>
    <s v="NON-PROD"/>
    <s v="TEST"/>
    <s v="Close Ticket"/>
    <d v="2020-05-06T00:00:00"/>
    <x v="0"/>
    <m/>
    <m/>
    <m/>
    <m/>
  </r>
  <r>
    <n v="111425"/>
    <d v="2020-05-27T14:15:00"/>
    <s v="Disable &quot;Sickness&quot; And &quot;Other&quot;"/>
    <s v="Kian Rogers"/>
    <s v="krogers@mailiN/Ator.com"/>
    <x v="2"/>
    <x v="0"/>
    <x v="0"/>
    <x v="0"/>
    <x v="0"/>
    <d v="2020-08-03T12:12:00"/>
    <d v="2020-05-28T02:15:00"/>
    <x v="0"/>
    <x v="0"/>
    <x v="0"/>
    <s v="N/A"/>
    <x v="1"/>
    <n v="10"/>
    <n v="3"/>
    <s v="NON-PROD"/>
    <s v="TEST"/>
    <s v="Close Ticket"/>
    <d v="2020-06-03T00:00:00"/>
    <x v="0"/>
    <m/>
    <m/>
    <m/>
    <m/>
  </r>
  <r>
    <n v="111443"/>
    <d v="2020-06-15T11:57:00"/>
    <s v="Create Accounting Issues"/>
    <s v="Kimberly Jones"/>
    <s v="kjones@outlook.com"/>
    <x v="2"/>
    <x v="0"/>
    <x v="0"/>
    <x v="0"/>
    <x v="0"/>
    <d v="2020-07-30T17:06:00"/>
    <s v="N/A"/>
    <x v="0"/>
    <x v="0"/>
    <x v="0"/>
    <s v="N/A"/>
    <x v="1"/>
    <n v="18"/>
    <n v="1"/>
    <s v="PROD"/>
    <s v="PRODUCTION"/>
    <s v="Close Ticket"/>
    <d v="2020-06-22T00:00:00"/>
    <x v="0"/>
    <m/>
    <m/>
    <m/>
    <m/>
  </r>
  <r>
    <n v="111399"/>
    <d v="2020-03-06T12:34:00"/>
    <s v="PersoN/Alization Of Iprocurement Icons/Button"/>
    <s v="Reah Junes"/>
    <s v="rjunes@yahoo.com"/>
    <x v="2"/>
    <x v="0"/>
    <x v="1"/>
    <x v="0"/>
    <x v="0"/>
    <d v="2020-07-30T17:06:00"/>
    <d v="2020-03-07T00:34:00"/>
    <x v="0"/>
    <x v="0"/>
    <x v="0"/>
    <s v="N/A"/>
    <x v="1"/>
    <n v="20"/>
    <n v="1"/>
    <s v="PROD"/>
    <s v="PRODUCTION"/>
    <s v="New Ticket"/>
    <s v="No SLA for Request"/>
    <x v="1"/>
    <m/>
    <m/>
    <m/>
    <m/>
  </r>
  <r>
    <n v="111449"/>
    <d v="2020-06-23T14:48:00"/>
    <s v="Error: Site Can'T Be Reach"/>
    <s v="Grace Evans"/>
    <s v="gevans@mailiN/Ator.com"/>
    <x v="2"/>
    <x v="1"/>
    <x v="0"/>
    <x v="0"/>
    <x v="0"/>
    <d v="2020-07-27T17:07:00"/>
    <d v="2020-06-24T02:48:00"/>
    <x v="0"/>
    <x v="0"/>
    <x v="0"/>
    <s v="N/A"/>
    <x v="2"/>
    <n v="5"/>
    <n v="0"/>
    <s v="N/A"/>
    <s v="PRODUCTION"/>
    <s v="New Ticket"/>
    <d v="2020-06-30T00:00:00"/>
    <x v="0"/>
    <m/>
    <m/>
    <m/>
    <m/>
  </r>
  <r>
    <n v="111450"/>
    <d v="2020-06-23T14:56:00"/>
    <s v="Baliwag - Desktop Error"/>
    <s v="Grace Evans"/>
    <s v="gevans@mailiN/Ator.com"/>
    <x v="2"/>
    <x v="1"/>
    <x v="1"/>
    <x v="0"/>
    <x v="0"/>
    <d v="2020-07-27T17:06:00"/>
    <d v="2020-06-24T02:56:00"/>
    <x v="0"/>
    <x v="0"/>
    <x v="0"/>
    <s v="N/A"/>
    <x v="2"/>
    <n v="4"/>
    <n v="0"/>
    <s v="N/A"/>
    <s v="PRODUCTION"/>
    <s v="New Ticket"/>
    <s v="No SLA for Request"/>
    <x v="1"/>
    <m/>
    <m/>
    <m/>
    <m/>
  </r>
  <r>
    <n v="111470"/>
    <d v="2020-07-14T18:38:00"/>
    <s v="Error Page"/>
    <s v="Riza Richardson"/>
    <s v="rrichardson@mailiN/Ator.com"/>
    <x v="2"/>
    <x v="0"/>
    <x v="0"/>
    <x v="0"/>
    <x v="0"/>
    <d v="2020-07-21T17:45:00"/>
    <d v="2020-07-15T06:38:00"/>
    <x v="0"/>
    <x v="0"/>
    <x v="0"/>
    <s v="N/A"/>
    <x v="1"/>
    <n v="12"/>
    <n v="3"/>
    <s v="PROD"/>
    <s v="PRODUCTION"/>
    <s v="Close Ticket"/>
    <d v="2020-07-21T00:00:00"/>
    <x v="0"/>
    <m/>
    <m/>
    <m/>
    <m/>
  </r>
  <r>
    <n v="111411"/>
    <d v="2020-04-15T17:54:00"/>
    <s v="ExterN/Al Learning - N/Avigation"/>
    <s v="Troy Daniels"/>
    <s v="troy.daniels@outlook.com"/>
    <x v="2"/>
    <x v="0"/>
    <x v="1"/>
    <x v="0"/>
    <x v="0"/>
    <d v="2020-07-20T17:02:00"/>
    <s v="N/A"/>
    <x v="0"/>
    <x v="0"/>
    <x v="0"/>
    <s v="N/A"/>
    <x v="1"/>
    <n v="15"/>
    <n v="7"/>
    <s v="NON-PROD"/>
    <s v="TEST"/>
    <s v="Close Ticket"/>
    <s v="No SLA for Request"/>
    <x v="1"/>
    <m/>
    <m/>
    <m/>
    <m/>
  </r>
  <r>
    <n v="111471"/>
    <d v="2020-07-16T18:22:00"/>
    <s v="Slow Performance Laptop"/>
    <s v="Rue Whitaker"/>
    <s v="rue.whitaker@yahoo.com"/>
    <x v="2"/>
    <x v="1"/>
    <x v="0"/>
    <x v="2"/>
    <x v="2"/>
    <d v="2020-07-16T18:34:00"/>
    <d v="2020-07-17T17:00:00"/>
    <x v="1"/>
    <x v="0"/>
    <x v="3"/>
    <s v="N/A"/>
    <x v="4"/>
    <n v="4"/>
    <n v="0"/>
    <s v="NON-PROD"/>
    <s v="TEST"/>
    <s v="New Ticket"/>
    <d v="2020-07-23T00:00:00"/>
    <x v="2"/>
    <m/>
    <m/>
    <m/>
    <m/>
  </r>
  <r>
    <n v="111455"/>
    <d v="2020-07-02T08:41:00"/>
    <s v="Error In Grade Roster"/>
    <s v="Jasper John"/>
    <s v="jasper.john@gmail.com"/>
    <x v="2"/>
    <x v="0"/>
    <x v="0"/>
    <x v="0"/>
    <x v="0"/>
    <d v="2020-07-15T17:30:00"/>
    <d v="2020-07-02T20:41:00"/>
    <x v="0"/>
    <x v="0"/>
    <x v="0"/>
    <s v="N/A"/>
    <x v="0"/>
    <n v="10"/>
    <n v="3"/>
    <s v="PROD"/>
    <s v="PRODUCTION"/>
    <s v="New Ticket"/>
    <d v="2020-07-09T00:00:00"/>
    <x v="0"/>
    <m/>
    <m/>
    <m/>
    <m/>
  </r>
  <r>
    <n v="111452"/>
    <d v="2020-07-01T16:39:00"/>
    <s v="Replace Actual Emails In Jde Test Isntance"/>
    <s v="Melody Thompson"/>
    <s v="mthompson@yahoo.com"/>
    <x v="2"/>
    <x v="0"/>
    <x v="1"/>
    <x v="0"/>
    <x v="0"/>
    <d v="2020-07-15T17:28:00"/>
    <d v="2020-07-02T04:39:00"/>
    <x v="0"/>
    <x v="0"/>
    <x v="0"/>
    <s v="N/A"/>
    <x v="1"/>
    <n v="24"/>
    <n v="4"/>
    <s v="NON-PROD"/>
    <s v="TEST"/>
    <s v="Close Ticket"/>
    <s v="No SLA for Request"/>
    <x v="1"/>
    <m/>
    <m/>
    <m/>
    <m/>
  </r>
  <r>
    <n v="111458"/>
    <d v="2020-07-07T14:33:00"/>
    <s v="Iphone Support"/>
    <s v="Grace Evans"/>
    <s v="gevans@mailiN/Ator.com"/>
    <x v="2"/>
    <x v="1"/>
    <x v="1"/>
    <x v="2"/>
    <x v="0"/>
    <d v="2020-07-13T12:14:00"/>
    <d v="2020-07-08T17:00:00"/>
    <x v="0"/>
    <x v="0"/>
    <x v="0"/>
    <s v="N/A"/>
    <x v="4"/>
    <n v="4"/>
    <n v="0"/>
    <s v="NON-PROD"/>
    <s v="DEVELOPMENT"/>
    <s v="New Ticket"/>
    <s v="No SLA for Request"/>
    <x v="1"/>
    <m/>
    <m/>
    <m/>
    <m/>
  </r>
  <r>
    <n v="111435"/>
    <d v="2020-06-05T18:05:00"/>
    <s v="Laptop - Battery Repair"/>
    <s v="Jane Wilberts"/>
    <s v="jwilberts@mailiN/Ator.com"/>
    <x v="2"/>
    <x v="1"/>
    <x v="1"/>
    <x v="2"/>
    <x v="0"/>
    <d v="2020-07-13T10:16:00"/>
    <d v="2020-06-06T17:00:00"/>
    <x v="0"/>
    <x v="0"/>
    <x v="0"/>
    <s v="N/A"/>
    <x v="2"/>
    <n v="5"/>
    <n v="0"/>
    <s v="N/A"/>
    <s v="PRODUCTION"/>
    <s v="New Ticket"/>
    <s v="No SLA for Request"/>
    <x v="1"/>
    <m/>
    <m/>
    <m/>
    <m/>
  </r>
  <r>
    <n v="111466"/>
    <d v="2020-07-09T12:40:00"/>
    <s v="Test Using List"/>
    <s v="Jovan Brown"/>
    <s v="jovan_brown@mailiN/Ator.com"/>
    <x v="2"/>
    <x v="1"/>
    <x v="0"/>
    <x v="0"/>
    <x v="2"/>
    <d v="2020-07-09T12:40:00"/>
    <d v="2020-07-10T00:40:00"/>
    <x v="1"/>
    <x v="1"/>
    <x v="3"/>
    <s v="N/A"/>
    <x v="4"/>
    <n v="1"/>
    <n v="0"/>
    <s v="NON-PROD"/>
    <s v="DEVELOPMENT"/>
    <s v="New Ticket"/>
    <d v="2020-07-16T00:00:00"/>
    <x v="2"/>
    <m/>
    <m/>
    <m/>
    <m/>
  </r>
  <r>
    <n v="111463"/>
    <d v="2020-07-09T12:18:00"/>
    <s v="Assdasd Testing"/>
    <s v="Jovan Brown"/>
    <s v="jovan_brown@mailiN/Ator.com"/>
    <x v="2"/>
    <x v="1"/>
    <x v="0"/>
    <x v="0"/>
    <x v="2"/>
    <d v="2020-07-09T12:18:00"/>
    <d v="2020-07-10T00:18:00"/>
    <x v="1"/>
    <x v="1"/>
    <x v="3"/>
    <s v="N/A"/>
    <x v="4"/>
    <n v="1"/>
    <n v="0"/>
    <s v="PROD"/>
    <s v="DEVELOPMENT"/>
    <s v="New Ticket"/>
    <d v="2020-07-16T00:00:00"/>
    <x v="2"/>
    <m/>
    <m/>
    <m/>
    <m/>
  </r>
  <r>
    <n v="111462"/>
    <d v="2020-07-09T12:12:00"/>
    <s v="Testing Not Working"/>
    <s v="Jovan Brown"/>
    <s v="jovan_brown@mailiN/Ator.com"/>
    <x v="2"/>
    <x v="1"/>
    <x v="0"/>
    <x v="0"/>
    <x v="2"/>
    <d v="2020-07-09T12:12:00"/>
    <d v="2020-07-10T00:12:00"/>
    <x v="1"/>
    <x v="1"/>
    <x v="3"/>
    <s v="N/A"/>
    <x v="4"/>
    <n v="1"/>
    <n v="0"/>
    <s v="NON-PROD"/>
    <s v="DEVELOPMENT"/>
    <s v="New Ticket"/>
    <d v="2020-07-16T00:00:00"/>
    <x v="2"/>
    <m/>
    <m/>
    <m/>
    <m/>
  </r>
  <r>
    <n v="111461"/>
    <d v="2020-07-09T12:09:00"/>
    <s v="Testing Ticketing Not Appearing"/>
    <s v="Jovan Brown"/>
    <s v="jovan_brown@mailiN/Ator.com"/>
    <x v="2"/>
    <x v="1"/>
    <x v="0"/>
    <x v="0"/>
    <x v="2"/>
    <d v="2020-07-09T12:09:00"/>
    <d v="2020-07-10T00:09:00"/>
    <x v="1"/>
    <x v="1"/>
    <x v="3"/>
    <s v="N/A"/>
    <x v="4"/>
    <n v="1"/>
    <n v="0"/>
    <s v="PROD"/>
    <s v="DEVELOPMENT"/>
    <s v="New Ticket"/>
    <d v="2020-07-16T00:00:00"/>
    <x v="2"/>
    <m/>
    <m/>
    <m/>
    <m/>
  </r>
  <r>
    <n v="111460"/>
    <d v="2020-07-09T12:06:00"/>
    <s v="Cannot See Category In Ticketing"/>
    <s v="Jovan Brown"/>
    <s v="jovan_brown@mailiN/Ator.com"/>
    <x v="2"/>
    <x v="1"/>
    <x v="0"/>
    <x v="0"/>
    <x v="2"/>
    <d v="2020-07-09T12:06:00"/>
    <d v="2020-07-10T00:06:00"/>
    <x v="1"/>
    <x v="1"/>
    <x v="3"/>
    <s v="N/A"/>
    <x v="4"/>
    <n v="1"/>
    <n v="0"/>
    <s v="PROD"/>
    <s v="DEVELOPMENT"/>
    <s v="New Ticket"/>
    <d v="2020-07-16T00:00:00"/>
    <x v="2"/>
    <m/>
    <m/>
    <m/>
    <m/>
  </r>
  <r>
    <n v="111408"/>
    <d v="2020-04-13T13:57:00"/>
    <s v="Auto Creation Of Po From Approved Reqjdeitions"/>
    <s v="Reah Junes"/>
    <s v="rjunes@yahoo.com"/>
    <x v="2"/>
    <x v="0"/>
    <x v="0"/>
    <x v="0"/>
    <x v="0"/>
    <d v="2020-07-09T08:31:00"/>
    <s v="N/A"/>
    <x v="0"/>
    <x v="0"/>
    <x v="0"/>
    <s v="N/A"/>
    <x v="1"/>
    <n v="19"/>
    <n v="6"/>
    <s v="NON-PROD"/>
    <s v="TEST"/>
    <s v="New Ticket"/>
    <d v="2020-04-20T00:00:00"/>
    <x v="0"/>
    <m/>
    <m/>
    <m/>
    <m/>
  </r>
  <r>
    <n v="111440"/>
    <d v="2020-06-09T11:52:00"/>
    <s v="Slow Performance Laptop"/>
    <s v="Kenneth Greene"/>
    <s v="k.greene@yahoo.com"/>
    <x v="2"/>
    <x v="1"/>
    <x v="0"/>
    <x v="2"/>
    <x v="0"/>
    <d v="2020-06-29T17:45:00"/>
    <d v="2020-06-10T17:00:00"/>
    <x v="0"/>
    <x v="0"/>
    <x v="0"/>
    <s v="N/A"/>
    <x v="2"/>
    <n v="4"/>
    <n v="0"/>
    <s v="N/A"/>
    <s v="PRODUCTION"/>
    <s v="New Ticket"/>
    <d v="2020-06-16T00:00:00"/>
    <x v="0"/>
    <m/>
    <m/>
    <m/>
    <m/>
  </r>
  <r>
    <n v="111441"/>
    <d v="2020-06-14T10:43:00"/>
    <s v="Palo Alto Configuration"/>
    <s v="Tomi Yamamoto"/>
    <s v="tyamamoto@gmail.com"/>
    <x v="2"/>
    <x v="1"/>
    <x v="1"/>
    <x v="0"/>
    <x v="0"/>
    <d v="2020-06-25T16:38:00"/>
    <d v="2020-06-14T22:43:00"/>
    <x v="0"/>
    <x v="0"/>
    <x v="0"/>
    <s v="N/A"/>
    <x v="2"/>
    <n v="4"/>
    <n v="0"/>
    <s v="N/A"/>
    <s v="PRODUCTION"/>
    <s v="New Ticket"/>
    <s v="No SLA for Request"/>
    <x v="1"/>
    <m/>
    <m/>
    <m/>
    <m/>
  </r>
  <r>
    <n v="111436"/>
    <d v="2020-06-08T10:41:00"/>
    <s v="Slow Performance Laptop"/>
    <s v="Sophia Walker"/>
    <s v="swalker@outlook.com"/>
    <x v="2"/>
    <x v="1"/>
    <x v="0"/>
    <x v="2"/>
    <x v="0"/>
    <d v="2020-06-25T16:09:00"/>
    <d v="2020-06-09T17:00:00"/>
    <x v="0"/>
    <x v="0"/>
    <x v="0"/>
    <s v="N/A"/>
    <x v="8"/>
    <n v="5"/>
    <n v="0"/>
    <s v="N/A"/>
    <s v="PRODUCTION"/>
    <s v="New Ticket"/>
    <d v="2020-06-15T00:00:00"/>
    <x v="0"/>
    <m/>
    <m/>
    <m/>
    <m/>
  </r>
  <r>
    <n v="111407"/>
    <d v="2020-04-07T19:01:00"/>
    <s v="Error In Email Of Ms. Eliza"/>
    <s v="Grace Evans"/>
    <s v="gevans@mailiN/Ator.com"/>
    <x v="2"/>
    <x v="1"/>
    <x v="0"/>
    <x v="0"/>
    <x v="0"/>
    <d v="2020-06-25T16:05:00"/>
    <d v="2020-04-08T07:01:00"/>
    <x v="0"/>
    <x v="0"/>
    <x v="0"/>
    <s v="N/A"/>
    <x v="2"/>
    <n v="4"/>
    <n v="0"/>
    <s v="N/A"/>
    <s v="PRODUCTION"/>
    <s v="Close Ticket"/>
    <d v="2020-04-14T00:00:00"/>
    <x v="0"/>
    <m/>
    <m/>
    <m/>
    <m/>
  </r>
  <r>
    <n v="111448"/>
    <d v="2020-06-23T13:31:00"/>
    <s v="Zoom UN/Able To Install"/>
    <s v="Sophia Walker"/>
    <s v="swalker@outlook.com"/>
    <x v="2"/>
    <x v="1"/>
    <x v="1"/>
    <x v="0"/>
    <x v="0"/>
    <d v="2020-06-25T15:11:00"/>
    <d v="2020-06-24T01:31:00"/>
    <x v="0"/>
    <x v="0"/>
    <x v="0"/>
    <s v="N/A"/>
    <x v="2"/>
    <n v="5"/>
    <n v="0"/>
    <s v="N/A"/>
    <s v="TEST"/>
    <s v="Close Ticket"/>
    <s v="No SLA for Request"/>
    <x v="1"/>
    <m/>
    <m/>
    <m/>
    <m/>
  </r>
  <r>
    <n v="111447"/>
    <d v="2020-06-18T17:03:00"/>
    <s v="Microsoft Office Installation"/>
    <s v="Monique Smiths"/>
    <s v="msmiths@yahoo.com"/>
    <x v="2"/>
    <x v="1"/>
    <x v="1"/>
    <x v="2"/>
    <x v="0"/>
    <d v="2020-06-24T17:34:00"/>
    <d v="2020-06-19T17:00:00"/>
    <x v="0"/>
    <x v="0"/>
    <x v="0"/>
    <s v="N/A"/>
    <x v="4"/>
    <n v="4"/>
    <n v="0"/>
    <s v="N/A"/>
    <s v="PRODUCTION"/>
    <s v="New Ticket"/>
    <s v="No SLA for Request"/>
    <x v="1"/>
    <m/>
    <m/>
    <m/>
    <m/>
  </r>
  <r>
    <n v="111444"/>
    <d v="2020-06-16T09:01:00"/>
    <s v="UN/Able To Process Batch Term Activate"/>
    <s v="Aurora Miller"/>
    <s v="aurora.miller@outlook.com"/>
    <x v="2"/>
    <x v="0"/>
    <x v="0"/>
    <x v="0"/>
    <x v="0"/>
    <d v="2020-06-23T18:01:00"/>
    <s v="N/A"/>
    <x v="0"/>
    <x v="0"/>
    <x v="0"/>
    <s v="N/A"/>
    <x v="0"/>
    <n v="15"/>
    <n v="6"/>
    <s v="PROD"/>
    <s v="PRODUCTION"/>
    <s v="Close Ticket"/>
    <d v="2020-06-23T00:00:00"/>
    <x v="0"/>
    <m/>
    <m/>
    <m/>
    <m/>
  </r>
  <r>
    <n v="111442"/>
    <d v="2020-06-15T10:24:00"/>
    <s v="App Engine Not Posting"/>
    <s v="Aurora Miller"/>
    <s v="aurora.miller@outlook.com"/>
    <x v="2"/>
    <x v="0"/>
    <x v="0"/>
    <x v="0"/>
    <x v="0"/>
    <d v="2020-06-23T09:43:00"/>
    <s v="N/A"/>
    <x v="0"/>
    <x v="0"/>
    <x v="0"/>
    <s v="N/A"/>
    <x v="0"/>
    <n v="8"/>
    <n v="3"/>
    <s v="PROD"/>
    <s v="PRODUCTION"/>
    <s v="Close Ticket"/>
    <d v="2020-06-22T00:00:00"/>
    <x v="0"/>
    <m/>
    <m/>
    <m/>
    <m/>
  </r>
  <r>
    <n v="111423"/>
    <d v="2020-05-20T14:51:00"/>
    <s v="ReN/Aming In Jde Via Page PersoN/Alization"/>
    <s v="Kian Rogers"/>
    <s v="krogers@mailiN/Ator.com"/>
    <x v="2"/>
    <x v="0"/>
    <x v="1"/>
    <x v="0"/>
    <x v="0"/>
    <d v="2020-06-22T17:03:00"/>
    <s v="N/A"/>
    <x v="0"/>
    <x v="0"/>
    <x v="0"/>
    <s v="N/A"/>
    <x v="1"/>
    <n v="4"/>
    <n v="3"/>
    <s v="NON-PROD"/>
    <s v="TEST"/>
    <s v="Close Ticket"/>
    <s v="No SLA for Request"/>
    <x v="1"/>
    <m/>
    <m/>
    <m/>
    <m/>
  </r>
  <r>
    <n v="111426"/>
    <d v="2020-05-28T11:05:00"/>
    <s v="Adding &quot;Leave MaN/Agement&quot; Menu"/>
    <s v="Kian Rogers"/>
    <s v="krogers@mailiN/Ator.com"/>
    <x v="2"/>
    <x v="0"/>
    <x v="1"/>
    <x v="0"/>
    <x v="0"/>
    <d v="2020-06-22T17:02:00"/>
    <s v="N/A"/>
    <x v="0"/>
    <x v="0"/>
    <x v="0"/>
    <s v="N/A"/>
    <x v="1"/>
    <n v="4"/>
    <n v="0"/>
    <s v="NON-PROD"/>
    <s v="TEST"/>
    <s v="Close Ticket"/>
    <s v="No SLA for Request"/>
    <x v="1"/>
    <m/>
    <m/>
    <m/>
    <m/>
  </r>
  <r>
    <n v="111428"/>
    <d v="2020-05-29T17:23:00"/>
    <s v="Restart Of Physical Server In Coloc"/>
    <s v="Aurora Miller"/>
    <s v="aurora.miller@outlook.com"/>
    <x v="2"/>
    <x v="0"/>
    <x v="1"/>
    <x v="0"/>
    <x v="0"/>
    <d v="2020-06-17T14:13:00"/>
    <s v="N/A"/>
    <x v="0"/>
    <x v="0"/>
    <x v="0"/>
    <s v="N/A"/>
    <x v="0"/>
    <n v="5"/>
    <n v="0"/>
    <s v="NON-PROD"/>
    <s v="DEVELOPMENT"/>
    <s v="Close Ticket"/>
    <s v="No SLA for Request"/>
    <x v="1"/>
    <m/>
    <m/>
    <m/>
    <m/>
  </r>
  <r>
    <n v="111379"/>
    <d v="2020-01-27T17:28:00"/>
    <s v="Epldt Dev Instance"/>
    <s v="Aurora Miller"/>
    <s v="aurora.miller@outlook.com"/>
    <x v="2"/>
    <x v="0"/>
    <x v="1"/>
    <x v="0"/>
    <x v="0"/>
    <d v="2020-06-16T17:52:00"/>
    <s v="N/A"/>
    <x v="0"/>
    <x v="0"/>
    <x v="0"/>
    <s v="N/A"/>
    <x v="0"/>
    <n v="9"/>
    <n v="0"/>
    <s v="NON-PROD"/>
    <s v="DEVELOPMENT"/>
    <s v="New Ticket"/>
    <s v="No SLA for Request"/>
    <x v="1"/>
    <m/>
    <m/>
    <m/>
    <m/>
  </r>
  <r>
    <n v="111412"/>
    <d v="2020-04-17T11:32:00"/>
    <s v="Test: Cannot Save Batch Element With Costing"/>
    <s v="Melody Thompson"/>
    <s v="mthompson@yahoo.com"/>
    <x v="2"/>
    <x v="0"/>
    <x v="0"/>
    <x v="0"/>
    <x v="0"/>
    <d v="2020-06-16T17:50:00"/>
    <s v="N/A"/>
    <x v="0"/>
    <x v="0"/>
    <x v="0"/>
    <s v="N/A"/>
    <x v="1"/>
    <n v="10"/>
    <n v="2"/>
    <s v="NON-PROD"/>
    <s v="TEST"/>
    <s v="Close Ticket"/>
    <d v="2020-04-24T00:00:00"/>
    <x v="0"/>
    <m/>
    <m/>
    <m/>
    <m/>
  </r>
  <r>
    <n v="111415"/>
    <d v="2020-04-20T13:00:00"/>
    <s v="Cos- Application Error Has Occurred In Your Proces"/>
    <s v="Troy Daniels"/>
    <s v="troy.daniels@outlook.com"/>
    <x v="2"/>
    <x v="0"/>
    <x v="0"/>
    <x v="0"/>
    <x v="0"/>
    <d v="2020-06-16T17:49:00"/>
    <s v="N/A"/>
    <x v="0"/>
    <x v="0"/>
    <x v="0"/>
    <s v="N/A"/>
    <x v="1"/>
    <n v="9"/>
    <n v="6"/>
    <s v="PROD"/>
    <s v="PRODUCTION"/>
    <s v="Close Ticket"/>
    <d v="2020-04-27T00:00:00"/>
    <x v="0"/>
    <m/>
    <m/>
    <m/>
    <m/>
  </r>
  <r>
    <n v="111438"/>
    <d v="2020-06-08T13:17:00"/>
    <s v="Eci Is Not Working In Sap 9.0"/>
    <s v="Jasper John"/>
    <s v="jasper.john@gmail.com"/>
    <x v="2"/>
    <x v="0"/>
    <x v="0"/>
    <x v="0"/>
    <x v="0"/>
    <d v="2020-06-16T17:47:00"/>
    <s v="N/A"/>
    <x v="0"/>
    <x v="0"/>
    <x v="0"/>
    <s v="N/A"/>
    <x v="0"/>
    <n v="8"/>
    <n v="2"/>
    <s v="PROD"/>
    <s v="PRODUCTION"/>
    <s v="New Ticket"/>
    <d v="2020-06-15T00:00:00"/>
    <x v="0"/>
    <m/>
    <m/>
    <m/>
    <m/>
  </r>
  <r>
    <n v="111406"/>
    <d v="2020-04-06T13:08:00"/>
    <s v="Jde Test: Error When Updating Email Via Sql"/>
    <s v="Melody Thompson"/>
    <s v="mthompson@yahoo.com"/>
    <x v="2"/>
    <x v="0"/>
    <x v="0"/>
    <x v="0"/>
    <x v="0"/>
    <d v="2020-06-10T17:29:00"/>
    <s v="N/A"/>
    <x v="0"/>
    <x v="0"/>
    <x v="0"/>
    <s v="N/A"/>
    <x v="1"/>
    <n v="25"/>
    <n v="9"/>
    <s v="NON-PROD"/>
    <s v="TEST"/>
    <s v="New Ticket"/>
    <d v="2020-04-13T00:00:00"/>
    <x v="0"/>
    <m/>
    <m/>
    <m/>
    <m/>
  </r>
  <r>
    <n v="111431"/>
    <d v="2020-06-02T19:31:00"/>
    <s v="UN/Able To Add Iscsi Software Adapter"/>
    <s v="Charles Thomas"/>
    <s v="charles.thomas@outlook.com"/>
    <x v="2"/>
    <x v="1"/>
    <x v="0"/>
    <x v="1"/>
    <x v="0"/>
    <d v="2020-06-10T15:29:00"/>
    <d v="2020-06-03T17:00:00"/>
    <x v="0"/>
    <x v="0"/>
    <x v="2"/>
    <s v="N/A"/>
    <x v="8"/>
    <n v="4"/>
    <n v="0"/>
    <s v="N/A"/>
    <s v="PRODUCTION"/>
    <s v="New Ticket"/>
    <d v="2020-06-09T00:00:00"/>
    <x v="0"/>
    <m/>
    <m/>
    <m/>
    <m/>
  </r>
  <r>
    <n v="111439"/>
    <d v="2020-06-09T11:27:00"/>
    <s v="Installation Of Empson Printer And Scanner"/>
    <s v="Monique Smiths"/>
    <s v="msmiths@yahoo.com"/>
    <x v="2"/>
    <x v="1"/>
    <x v="1"/>
    <x v="2"/>
    <x v="0"/>
    <d v="2020-06-10T15:25:00"/>
    <d v="2020-06-10T17:00:00"/>
    <x v="0"/>
    <x v="0"/>
    <x v="2"/>
    <s v="N/A"/>
    <x v="4"/>
    <n v="4"/>
    <n v="0"/>
    <s v="N/A"/>
    <s v="PRODUCTION"/>
    <s v="New Ticket"/>
    <s v="No SLA for Request"/>
    <x v="1"/>
    <m/>
    <m/>
    <m/>
    <m/>
  </r>
  <r>
    <n v="111398"/>
    <d v="2020-03-04T14:31:00"/>
    <s v="Po Approval Timeouts"/>
    <s v="Reah Junes"/>
    <s v="rjunes@yahoo.com"/>
    <x v="2"/>
    <x v="0"/>
    <x v="1"/>
    <x v="0"/>
    <x v="0"/>
    <d v="2020-05-21T17:38:00"/>
    <s v="N/A"/>
    <x v="0"/>
    <x v="0"/>
    <x v="0"/>
    <s v="N/A"/>
    <x v="1"/>
    <n v="26"/>
    <n v="3"/>
    <s v="NON-PROD"/>
    <s v="TEST"/>
    <s v="New Ticket"/>
    <s v="No SLA for Request"/>
    <x v="1"/>
    <m/>
    <m/>
    <m/>
    <m/>
  </r>
  <r>
    <n v="111385"/>
    <d v="2020-02-11T12:16:00"/>
    <s v="Units Overload"/>
    <s v="Aurora Miller"/>
    <s v="aurora.miller@outlook.com"/>
    <x v="2"/>
    <x v="0"/>
    <x v="0"/>
    <x v="0"/>
    <x v="0"/>
    <d v="2020-05-11T17:30:00"/>
    <s v="N/A"/>
    <x v="0"/>
    <x v="0"/>
    <x v="0"/>
    <s v="N/A"/>
    <x v="0"/>
    <n v="45"/>
    <n v="1"/>
    <s v="PROD"/>
    <s v="PRODUCTION"/>
    <s v="Close Ticket"/>
    <d v="2020-02-18T00:00:00"/>
    <x v="0"/>
    <m/>
    <m/>
    <m/>
    <m/>
  </r>
  <r>
    <n v="111419"/>
    <d v="2020-04-30T18:55:00"/>
    <s v="Processes Are Stock On Queued"/>
    <s v="Aurora Miller"/>
    <s v="aurora.miller@outlook.com"/>
    <x v="2"/>
    <x v="0"/>
    <x v="0"/>
    <x v="0"/>
    <x v="0"/>
    <d v="2020-05-08T18:16:00"/>
    <s v="N/A"/>
    <x v="0"/>
    <x v="0"/>
    <x v="0"/>
    <s v="N/A"/>
    <x v="0"/>
    <n v="5"/>
    <n v="1"/>
    <s v="PROD"/>
    <s v="PRODUCTION"/>
    <s v="New Ticket"/>
    <d v="2020-05-07T00:00:00"/>
    <x v="0"/>
    <m/>
    <m/>
    <m/>
    <m/>
  </r>
  <r>
    <n v="111421"/>
    <d v="2020-05-07T14:58:00"/>
    <s v="UN/Able To Boot The Application Server"/>
    <s v="Pradeep Sharma"/>
    <s v="pradeep.sharma@outlook.com"/>
    <x v="2"/>
    <x v="0"/>
    <x v="1"/>
    <x v="0"/>
    <x v="0"/>
    <d v="2020-05-08T09:40:00"/>
    <s v="N/A"/>
    <x v="0"/>
    <x v="0"/>
    <x v="0"/>
    <s v="N/A"/>
    <x v="0"/>
    <n v="6"/>
    <n v="0"/>
    <s v="NON-PROD"/>
    <s v="DEVELOPMENT"/>
    <s v="Close Ticket"/>
    <s v="No SLA for Request"/>
    <x v="1"/>
    <m/>
    <m/>
    <m/>
    <m/>
  </r>
  <r>
    <n v="111410"/>
    <d v="2020-04-15T12:51:00"/>
    <s v="Processmaker 3.3.7 Production Upgrade"/>
    <s v="Pradeep Sharma"/>
    <s v="pradeep.sharma@outlook.com"/>
    <x v="2"/>
    <x v="1"/>
    <x v="0"/>
    <x v="1"/>
    <x v="0"/>
    <d v="2020-04-29T17:31:00"/>
    <d v="2020-04-15T17:00:00"/>
    <x v="0"/>
    <x v="0"/>
    <x v="2"/>
    <s v="N/A"/>
    <x v="8"/>
    <n v="13"/>
    <n v="2"/>
    <s v="N/A"/>
    <s v="N/A"/>
    <s v="Close Ticket"/>
    <d v="2020-04-22T00:00:00"/>
    <x v="0"/>
    <m/>
    <m/>
    <m/>
    <m/>
  </r>
  <r>
    <n v="111413"/>
    <d v="2020-04-17T18:29:00"/>
    <s v="Test"/>
    <s v="Jovan Brown"/>
    <s v="jovan_brown@mailiN/Ator.com"/>
    <x v="2"/>
    <x v="1"/>
    <x v="0"/>
    <x v="0"/>
    <x v="2"/>
    <d v="2020-04-17T18:29:00"/>
    <d v="2020-04-18T06:29:00"/>
    <x v="1"/>
    <x v="1"/>
    <x v="4"/>
    <s v="N/A"/>
    <x v="4"/>
    <n v="1"/>
    <n v="0"/>
    <s v="PROD"/>
    <s v="PRODUCTION"/>
    <s v="New Ticket"/>
    <d v="2020-04-24T00:00:00"/>
    <x v="2"/>
    <m/>
    <m/>
    <m/>
    <m/>
  </r>
  <r>
    <n v="111402"/>
    <d v="2020-03-17T09:02:00"/>
    <s v="Smtp Issue In Sap Prod"/>
    <s v="Aurora Miller"/>
    <s v="aurora.miller@outlook.com"/>
    <x v="2"/>
    <x v="0"/>
    <x v="0"/>
    <x v="0"/>
    <x v="0"/>
    <d v="2020-04-02T17:23:00"/>
    <s v="N/A"/>
    <x v="0"/>
    <x v="0"/>
    <x v="0"/>
    <s v="N/A"/>
    <x v="0"/>
    <n v="10"/>
    <n v="2"/>
    <s v="PROD"/>
    <s v="DEVELOPMENT"/>
    <s v="Close Ticket"/>
    <d v="2020-03-24T00:00:00"/>
    <x v="0"/>
    <m/>
    <m/>
    <m/>
    <m/>
  </r>
  <r>
    <n v="111397"/>
    <d v="2020-03-04T13:01:00"/>
    <s v="Dev Instance Redirecting To Prod"/>
    <s v="Aurora Miller"/>
    <s v="aurora.miller@outlook.com"/>
    <x v="2"/>
    <x v="0"/>
    <x v="0"/>
    <x v="0"/>
    <x v="0"/>
    <d v="2020-03-26T18:42:00"/>
    <s v="N/A"/>
    <x v="0"/>
    <x v="0"/>
    <x v="0"/>
    <s v="N/A"/>
    <x v="0"/>
    <n v="6"/>
    <n v="2"/>
    <s v="NON-PROD"/>
    <s v="DEVELOPMENT"/>
    <s v="New Ticket"/>
    <d v="2020-03-11T00:00:00"/>
    <x v="0"/>
    <m/>
    <m/>
    <m/>
    <m/>
  </r>
  <r>
    <n v="111388"/>
    <d v="2020-02-13T11:26:00"/>
    <s v="Cos - Application Error"/>
    <s v="Troy Daniels"/>
    <s v="troy.daniels@outlook.com"/>
    <x v="2"/>
    <x v="0"/>
    <x v="0"/>
    <x v="0"/>
    <x v="0"/>
    <d v="2020-03-24T17:09:00"/>
    <s v="N/A"/>
    <x v="0"/>
    <x v="0"/>
    <x v="0"/>
    <s v="N/A"/>
    <x v="1"/>
    <n v="10"/>
    <n v="4"/>
    <s v="PROD"/>
    <s v="DEVELOPMENT"/>
    <s v="New Ticket"/>
    <d v="2020-02-20T00:00:00"/>
    <x v="0"/>
    <m/>
    <m/>
    <m/>
    <m/>
  </r>
  <r>
    <n v="111396"/>
    <d v="2020-03-03T14:29:00"/>
    <s v="Prod: Gray Out Fields, Cannot Input Data"/>
    <s v="Melody Thompson"/>
    <s v="mthompson@yahoo.com"/>
    <x v="2"/>
    <x v="0"/>
    <x v="0"/>
    <x v="0"/>
    <x v="0"/>
    <d v="2020-03-24T17:09:00"/>
    <s v="N/A"/>
    <x v="0"/>
    <x v="0"/>
    <x v="0"/>
    <s v="N/A"/>
    <x v="1"/>
    <n v="11"/>
    <n v="5"/>
    <s v="PROD"/>
    <s v="DEVELOPMENT"/>
    <s v="New Ticket"/>
    <d v="2020-03-10T00:00:00"/>
    <x v="0"/>
    <m/>
    <m/>
    <m/>
    <m/>
  </r>
  <r>
    <n v="111373"/>
    <d v="2020-01-16T11:58:00"/>
    <s v="UN/Able To Connect To Cs 9.2 Database From Win 10"/>
    <s v="John Brown"/>
    <s v="jbrown@outlook.com"/>
    <x v="2"/>
    <x v="0"/>
    <x v="1"/>
    <x v="0"/>
    <x v="0"/>
    <d v="2020-03-18T17:45:00"/>
    <s v="N/A"/>
    <x v="0"/>
    <x v="0"/>
    <x v="0"/>
    <s v="N/A"/>
    <x v="0"/>
    <n v="11"/>
    <n v="1"/>
    <s v="NON-PROD"/>
    <s v="DEVELOPMENT"/>
    <s v="Close Ticket"/>
    <s v="No SLA for Request"/>
    <x v="1"/>
    <m/>
    <m/>
    <m/>
    <m/>
  </r>
  <r>
    <n v="111372"/>
    <d v="2020-01-16T10:20:00"/>
    <s v="Globalprotect Connection"/>
    <s v="John Brown"/>
    <s v="jbrown@outlook.com"/>
    <x v="2"/>
    <x v="0"/>
    <x v="0"/>
    <x v="0"/>
    <x v="0"/>
    <d v="2020-03-16T14:25:00"/>
    <s v="N/A"/>
    <x v="0"/>
    <x v="0"/>
    <x v="0"/>
    <s v="N/A"/>
    <x v="3"/>
    <n v="6"/>
    <n v="2"/>
    <s v="NON-PROD"/>
    <s v="DEVELOPMENT"/>
    <s v="Close Ticket"/>
    <d v="2020-01-23T00:00:00"/>
    <x v="0"/>
    <m/>
    <m/>
    <m/>
    <m/>
  </r>
  <r>
    <n v="111356"/>
    <d v="2019-12-06T14:49:00"/>
    <s v="Po Submission Error In Test Instance"/>
    <s v="Reah Junes"/>
    <s v="rjunes@yahoo.com"/>
    <x v="2"/>
    <x v="0"/>
    <x v="0"/>
    <x v="0"/>
    <x v="0"/>
    <d v="2020-03-10T16:29:00"/>
    <s v="N/A"/>
    <x v="0"/>
    <x v="0"/>
    <x v="0"/>
    <s v="N/A"/>
    <x v="1"/>
    <n v="24"/>
    <n v="7"/>
    <s v="NON-PROD"/>
    <s v="DEVELOPMENT"/>
    <s v="New Ticket"/>
    <d v="2019-12-13T00:00:00"/>
    <x v="0"/>
    <m/>
    <m/>
    <m/>
    <m/>
  </r>
  <r>
    <n v="111386"/>
    <d v="2020-02-12T14:12:00"/>
    <s v="Prod: Correct Latest Start Date Of Employee"/>
    <s v="Melody Thompson"/>
    <s v="mthompson@yahoo.com"/>
    <x v="2"/>
    <x v="0"/>
    <x v="1"/>
    <x v="0"/>
    <x v="0"/>
    <d v="2020-03-04T17:20:00"/>
    <s v="N/A"/>
    <x v="0"/>
    <x v="0"/>
    <x v="0"/>
    <s v="N/A"/>
    <x v="1"/>
    <n v="15"/>
    <n v="4"/>
    <s v="PROD"/>
    <s v="DEVELOPMENT"/>
    <s v="New Ticket"/>
    <s v="No SLA for Request"/>
    <x v="1"/>
    <m/>
    <m/>
    <m/>
    <m/>
  </r>
  <r>
    <n v="111375"/>
    <d v="2020-01-22T12:06:00"/>
    <s v="Tuition Calculation Error"/>
    <s v="Aurora Miller"/>
    <s v="aurora.miller@outlook.com"/>
    <x v="2"/>
    <x v="0"/>
    <x v="0"/>
    <x v="0"/>
    <x v="0"/>
    <d v="2020-02-24T17:56:00"/>
    <s v="N/A"/>
    <x v="0"/>
    <x v="0"/>
    <x v="0"/>
    <s v="N/A"/>
    <x v="0"/>
    <n v="23"/>
    <n v="5"/>
    <s v="PROD"/>
    <s v="DEVELOPMENT"/>
    <s v="Close Ticket"/>
    <d v="2020-01-29T00:00:00"/>
    <x v="0"/>
    <m/>
    <m/>
    <m/>
    <m/>
  </r>
  <r>
    <n v="111377"/>
    <d v="2020-01-24T16:34:00"/>
    <s v="Activation Of Cost MaN/Agers"/>
    <s v="Reah Junes"/>
    <s v="rjunes@yahoo.com"/>
    <x v="2"/>
    <x v="0"/>
    <x v="1"/>
    <x v="0"/>
    <x v="0"/>
    <d v="2020-02-21T17:29:00"/>
    <s v="N/A"/>
    <x v="0"/>
    <x v="0"/>
    <x v="0"/>
    <s v="N/A"/>
    <x v="1"/>
    <n v="22"/>
    <n v="3"/>
    <s v="PROD"/>
    <s v="PRODUCTION"/>
    <s v="New Ticket"/>
    <s v="No SLA for Request"/>
    <x v="1"/>
    <m/>
    <m/>
    <m/>
    <m/>
  </r>
  <r>
    <n v="111389"/>
    <d v="2020-02-13T12:20:00"/>
    <s v="UN/Able To Startup The Vncserver"/>
    <s v="John Brown"/>
    <s v="jbrown@outlook.com"/>
    <x v="2"/>
    <x v="0"/>
    <x v="0"/>
    <x v="0"/>
    <x v="0"/>
    <d v="2020-02-17T10:00:00"/>
    <s v="N/A"/>
    <x v="0"/>
    <x v="0"/>
    <x v="0"/>
    <s v="N/A"/>
    <x v="0"/>
    <n v="7"/>
    <n v="1"/>
    <s v="NON-PROD"/>
    <s v="DEVELOPMENT"/>
    <s v="New Ticket"/>
    <d v="2020-02-20T00:00:00"/>
    <x v="2"/>
    <m/>
    <m/>
    <m/>
    <m/>
  </r>
  <r>
    <n v="111374"/>
    <d v="2020-01-20T17:29:00"/>
    <s v="Node Ping Error [Cs 9.2]"/>
    <s v="John Brown"/>
    <s v="jbrown@outlook.com"/>
    <x v="2"/>
    <x v="0"/>
    <x v="1"/>
    <x v="0"/>
    <x v="0"/>
    <d v="2020-02-17T09:01:00"/>
    <s v="N/A"/>
    <x v="0"/>
    <x v="0"/>
    <x v="0"/>
    <s v="N/A"/>
    <x v="0"/>
    <n v="4"/>
    <n v="0"/>
    <s v="NON-PROD"/>
    <s v="DEVELOPMENT"/>
    <s v="Close Ticket"/>
    <s v="No SLA for Request"/>
    <x v="1"/>
    <m/>
    <m/>
    <m/>
    <m/>
  </r>
  <r>
    <n v="111371"/>
    <d v="2020-01-15T15:14:00"/>
    <s v="Peopletools Client Dpk"/>
    <s v="John Brown"/>
    <s v="jbrown@outlook.com"/>
    <x v="2"/>
    <x v="0"/>
    <x v="1"/>
    <x v="0"/>
    <x v="0"/>
    <d v="2020-02-17T08:57:00"/>
    <s v="N/A"/>
    <x v="0"/>
    <x v="0"/>
    <x v="0"/>
    <s v="N/A"/>
    <x v="0"/>
    <n v="5"/>
    <n v="0"/>
    <s v="NON-PROD"/>
    <s v="DEVELOPMENT"/>
    <s v="Close Ticket"/>
    <s v="No SLA for Request"/>
    <x v="1"/>
    <m/>
    <m/>
    <m/>
    <m/>
  </r>
  <r>
    <n v="111381"/>
    <d v="2020-02-04T14:03:00"/>
    <s v="Coloc Server Is Down"/>
    <s v="Aurora Miller"/>
    <s v="aurora.miller@outlook.com"/>
    <x v="2"/>
    <x v="0"/>
    <x v="0"/>
    <x v="0"/>
    <x v="0"/>
    <d v="2020-02-11T17:43:00"/>
    <s v="N/A"/>
    <x v="0"/>
    <x v="0"/>
    <x v="0"/>
    <s v="N/A"/>
    <x v="0"/>
    <n v="6"/>
    <n v="1"/>
    <s v="NON-PROD"/>
    <s v="DEVELOPMENT"/>
    <s v="Close Ticket"/>
    <d v="2020-02-11T00:00:00"/>
    <x v="0"/>
    <m/>
    <m/>
    <m/>
    <m/>
  </r>
  <r>
    <n v="111368"/>
    <d v="2020-01-08T13:54:00"/>
    <s v="UN/Able To Perform Search After The Restart"/>
    <s v="John Brown"/>
    <s v="jbrown@outlook.com"/>
    <x v="2"/>
    <x v="0"/>
    <x v="1"/>
    <x v="0"/>
    <x v="0"/>
    <d v="2020-01-29T16:23:00"/>
    <s v="N/A"/>
    <x v="0"/>
    <x v="0"/>
    <x v="0"/>
    <s v="N/A"/>
    <x v="0"/>
    <n v="5"/>
    <n v="0"/>
    <s v="NON-PROD"/>
    <s v="DEVELOPMENT"/>
    <s v="Close Ticket"/>
    <s v="No SLA for Request"/>
    <x v="1"/>
    <m/>
    <m/>
    <m/>
    <m/>
  </r>
  <r>
    <n v="111376"/>
    <d v="2020-01-24T09:34:00"/>
    <s v="Idle Time"/>
    <s v="Aurora Miller"/>
    <s v="aurora.miller@outlook.com"/>
    <x v="2"/>
    <x v="0"/>
    <x v="1"/>
    <x v="0"/>
    <x v="0"/>
    <d v="2020-01-28T17:52:00"/>
    <s v="N/A"/>
    <x v="0"/>
    <x v="0"/>
    <x v="0"/>
    <s v="N/A"/>
    <x v="0"/>
    <n v="5"/>
    <n v="0"/>
    <s v="PROD"/>
    <s v="DEVELOPMENT"/>
    <s v="Open"/>
    <s v="No SLA for Request"/>
    <x v="1"/>
    <m/>
    <m/>
    <m/>
    <m/>
  </r>
  <r>
    <n v="111365"/>
    <d v="2020-01-03T13:35:00"/>
    <s v="Compatibility Of Windows 10 On Palo Alto"/>
    <s v="Tomi Yamamoto"/>
    <s v="tyamamoto@gmail.com"/>
    <x v="2"/>
    <x v="1"/>
    <x v="1"/>
    <x v="0"/>
    <x v="0"/>
    <d v="2020-01-27T17:45:00"/>
    <d v="2020-01-04T01:35:00"/>
    <x v="0"/>
    <x v="0"/>
    <x v="2"/>
    <s v="N/A"/>
    <x v="2"/>
    <n v="8"/>
    <n v="0"/>
    <s v="N/A"/>
    <s v="N/A"/>
    <s v="New Ticket"/>
    <s v="No SLA for Request"/>
    <x v="1"/>
    <m/>
    <m/>
    <m/>
    <m/>
  </r>
  <r>
    <n v="111215"/>
    <d v="2019-05-29T09:08:00"/>
    <s v="Jde Prod Invoice Approval Issue"/>
    <s v="Julius Wright"/>
    <s v="jwirght@outlook.com"/>
    <x v="2"/>
    <x v="0"/>
    <x v="0"/>
    <x v="0"/>
    <x v="0"/>
    <d v="2020-01-16T17:16:00"/>
    <s v="N/A"/>
    <x v="0"/>
    <x v="0"/>
    <x v="0"/>
    <s v="N/A"/>
    <x v="1"/>
    <n v="15"/>
    <n v="8"/>
    <s v="PROD"/>
    <s v="DEVELOPMENT"/>
    <s v="New Ticket"/>
    <d v="2019-06-05T00:00:00"/>
    <x v="0"/>
    <m/>
    <m/>
    <m/>
    <m/>
  </r>
  <r>
    <n v="111362"/>
    <d v="2019-12-26T10:09:00"/>
    <s v="Vpn Password"/>
    <s v="Marvin Peters"/>
    <s v="mpeters@outlook.com"/>
    <x v="2"/>
    <x v="0"/>
    <x v="1"/>
    <x v="0"/>
    <x v="0"/>
    <d v="2020-01-16T14:45:00"/>
    <s v="N/A"/>
    <x v="0"/>
    <x v="0"/>
    <x v="0"/>
    <s v="N/A"/>
    <x v="3"/>
    <n v="6"/>
    <n v="0"/>
    <s v="NON-PROD"/>
    <s v="DEVELOPMENT"/>
    <s v="Close Ticket"/>
    <s v="No SLA for Request"/>
    <x v="1"/>
    <m/>
    <m/>
    <m/>
    <m/>
  </r>
  <r>
    <n v="111359"/>
    <d v="2019-12-18T13:45:00"/>
    <s v="Jde Prod Error Page"/>
    <s v="Julius Wright"/>
    <s v="jwirght@outlook.com"/>
    <x v="2"/>
    <x v="0"/>
    <x v="0"/>
    <x v="0"/>
    <x v="0"/>
    <d v="2020-01-15T17:16:00"/>
    <s v="N/A"/>
    <x v="0"/>
    <x v="0"/>
    <x v="0"/>
    <s v="N/A"/>
    <x v="1"/>
    <n v="14"/>
    <n v="1"/>
    <s v="PROD"/>
    <s v="DEVELOPMENT"/>
    <s v="New Ticket"/>
    <d v="2019-12-25T00:00:00"/>
    <x v="0"/>
    <m/>
    <m/>
    <m/>
    <m/>
  </r>
  <r>
    <n v="111370"/>
    <d v="2020-01-11T15:44:00"/>
    <s v="Peopletools 8.57 On Client Machine"/>
    <s v="John Brown"/>
    <s v="jbrown@outlook.com"/>
    <x v="2"/>
    <x v="0"/>
    <x v="1"/>
    <x v="0"/>
    <x v="0"/>
    <d v="2020-01-14T17:36:00"/>
    <s v="N/A"/>
    <x v="0"/>
    <x v="0"/>
    <x v="0"/>
    <s v="N/A"/>
    <x v="0"/>
    <n v="7"/>
    <n v="1"/>
    <s v="NON-PROD"/>
    <s v="DEVELOPMENT"/>
    <s v="Open"/>
    <s v="No SLA for Request"/>
    <x v="1"/>
    <m/>
    <m/>
    <m/>
    <m/>
  </r>
  <r>
    <n v="111336"/>
    <d v="2019-10-25T17:34:00"/>
    <s v="Dev: Error On ExterN/Al Learning"/>
    <s v="Troy Daniels"/>
    <s v="troy.daniels@outlook.com"/>
    <x v="2"/>
    <x v="0"/>
    <x v="0"/>
    <x v="0"/>
    <x v="0"/>
    <d v="2020-01-14T17:32:00"/>
    <s v="N/A"/>
    <x v="0"/>
    <x v="0"/>
    <x v="0"/>
    <s v="N/A"/>
    <x v="1"/>
    <n v="11"/>
    <n v="6"/>
    <s v="NON-PROD"/>
    <s v="DEVELOPMENT"/>
    <s v="New Ticket"/>
    <d v="2019-11-01T00:00:00"/>
    <x v="0"/>
    <m/>
    <m/>
    <m/>
    <m/>
  </r>
  <r>
    <n v="111209"/>
    <d v="2019-05-23T13:48:00"/>
    <s v="Jde Prod - Different User Account"/>
    <s v="Julius Wright"/>
    <s v="jwirght@outlook.com"/>
    <x v="2"/>
    <x v="0"/>
    <x v="0"/>
    <x v="0"/>
    <x v="0"/>
    <d v="2020-01-14T17:30:00"/>
    <s v="N/A"/>
    <x v="0"/>
    <x v="0"/>
    <x v="0"/>
    <s v="N/A"/>
    <x v="1"/>
    <n v="17"/>
    <n v="3"/>
    <s v="PROD"/>
    <s v="DEVELOPMENT"/>
    <s v="New Ticket"/>
    <d v="2019-05-30T00:00:00"/>
    <x v="0"/>
    <m/>
    <m/>
    <m/>
    <m/>
  </r>
  <r>
    <n v="111355"/>
    <d v="2019-12-06T10:01:00"/>
    <s v="Grade Roster Generation Error"/>
    <s v="Jasper John"/>
    <s v="jasper.john@gmail.com"/>
    <x v="2"/>
    <x v="0"/>
    <x v="0"/>
    <x v="0"/>
    <x v="0"/>
    <d v="2020-01-10T18:06:00"/>
    <s v="N/A"/>
    <x v="0"/>
    <x v="0"/>
    <x v="0"/>
    <s v="N/A"/>
    <x v="0"/>
    <n v="16"/>
    <n v="1"/>
    <s v="PROD"/>
    <s v="DEVELOPMENT"/>
    <s v="New Ticket"/>
    <d v="2019-12-13T00:00:00"/>
    <x v="0"/>
    <m/>
    <m/>
    <m/>
    <m/>
  </r>
  <r>
    <n v="111367"/>
    <d v="2020-01-07T09:40:00"/>
    <s v="Booting Up Sap 9.2 In Globe Server​"/>
    <s v="John Brown"/>
    <s v="jbrown@outlook.com"/>
    <x v="2"/>
    <x v="0"/>
    <x v="1"/>
    <x v="0"/>
    <x v="0"/>
    <d v="2020-01-08T16:50:00"/>
    <s v="N/A"/>
    <x v="0"/>
    <x v="0"/>
    <x v="0"/>
    <s v="N/A"/>
    <x v="0"/>
    <n v="8"/>
    <n v="0"/>
    <s v="NON-PROD"/>
    <s v="DEVELOPMENT"/>
    <s v="Close Ticket"/>
    <s v="No SLA for Request"/>
    <x v="1"/>
    <m/>
    <m/>
    <m/>
    <m/>
  </r>
  <r>
    <n v="111363"/>
    <d v="2020-01-02T17:14:00"/>
    <s v="Server Restart Request"/>
    <s v="John Brown"/>
    <s v="jbrown@outlook.com"/>
    <x v="2"/>
    <x v="0"/>
    <x v="1"/>
    <x v="0"/>
    <x v="0"/>
    <d v="2020-01-07T11:04:00"/>
    <s v="N/A"/>
    <x v="0"/>
    <x v="0"/>
    <x v="0"/>
    <s v="N/A"/>
    <x v="0"/>
    <n v="7"/>
    <n v="0"/>
    <s v="NON-PROD"/>
    <s v="DEVELOPMENT"/>
    <s v="Close Ticket"/>
    <s v="No SLA for Request"/>
    <x v="1"/>
    <m/>
    <m/>
    <m/>
    <m/>
  </r>
  <r>
    <n v="111337"/>
    <d v="2019-10-30T14:38:00"/>
    <s v="Dev Db Refresh From Prod Data"/>
    <s v="Aurora Miller"/>
    <s v="aurora.miller@outlook.com"/>
    <x v="2"/>
    <x v="0"/>
    <x v="1"/>
    <x v="0"/>
    <x v="0"/>
    <d v="2020-01-03T17:36:00"/>
    <s v="N/A"/>
    <x v="0"/>
    <x v="0"/>
    <x v="0"/>
    <s v="N/A"/>
    <x v="0"/>
    <n v="20"/>
    <n v="0"/>
    <s v="N/A"/>
    <s v="N/A"/>
    <s v="New Ticket"/>
    <s v="No SLA for Request"/>
    <x v="1"/>
    <m/>
    <m/>
    <m/>
    <m/>
  </r>
  <r>
    <n v="111324"/>
    <d v="2019-10-14T16:36:00"/>
    <s v="Patch Application To Set Up Web Services"/>
    <s v="Julius Wright"/>
    <s v="jwirght@outlook.com"/>
    <x v="2"/>
    <x v="0"/>
    <x v="0"/>
    <x v="0"/>
    <x v="0"/>
    <d v="2019-12-23T15:36:00"/>
    <d v="2019-10-15T04:36:00"/>
    <x v="0"/>
    <x v="0"/>
    <x v="0"/>
    <s v="N/A"/>
    <x v="1"/>
    <n v="9"/>
    <n v="3"/>
    <s v="N/A"/>
    <s v="N/A"/>
    <s v="New Ticket"/>
    <d v="2019-10-21T00:00:00"/>
    <x v="0"/>
    <m/>
    <m/>
    <m/>
    <m/>
  </r>
  <r>
    <n v="111335"/>
    <d v="2019-10-25T17:28:00"/>
    <s v="Prod: Restrictions In Assignment Set"/>
    <s v="Melody Thompson"/>
    <s v="mthompson@yahoo.com"/>
    <x v="2"/>
    <x v="0"/>
    <x v="1"/>
    <x v="0"/>
    <x v="0"/>
    <d v="2019-12-23T15:10:00"/>
    <d v="2019-12-18T17:00:00"/>
    <x v="0"/>
    <x v="0"/>
    <x v="0"/>
    <s v="N/A"/>
    <x v="1"/>
    <n v="17"/>
    <n v="8"/>
    <s v="N/A"/>
    <s v="N/A"/>
    <s v="New Ticket"/>
    <s v="No SLA for Request"/>
    <x v="1"/>
    <m/>
    <m/>
    <m/>
    <m/>
  </r>
  <r>
    <n v="111326"/>
    <d v="2019-10-14T16:49:00"/>
    <s v="Error In Form 5."/>
    <s v="Jasper John"/>
    <s v="jasper.john@gmail.com"/>
    <x v="2"/>
    <x v="0"/>
    <x v="0"/>
    <x v="0"/>
    <x v="0"/>
    <d v="2019-12-23T14:36:00"/>
    <d v="2019-10-15T04:49:00"/>
    <x v="0"/>
    <x v="0"/>
    <x v="0"/>
    <s v="N/A"/>
    <x v="0"/>
    <n v="26"/>
    <n v="7"/>
    <s v="N/A"/>
    <s v="N/A"/>
    <s v="New Ticket"/>
    <d v="2019-10-21T00:00:00"/>
    <x v="0"/>
    <m/>
    <m/>
    <m/>
    <m/>
  </r>
  <r>
    <n v="111352"/>
    <d v="2019-11-29T10:49:00"/>
    <s v="Updating Description Of Course Mcb 11."/>
    <s v="Jasper John"/>
    <s v="jasper.john@gmail.com"/>
    <x v="2"/>
    <x v="0"/>
    <x v="1"/>
    <x v="0"/>
    <x v="0"/>
    <d v="2019-12-19T18:06:00"/>
    <d v="2019-11-29T22:49:00"/>
    <x v="0"/>
    <x v="0"/>
    <x v="0"/>
    <s v="N/A"/>
    <x v="0"/>
    <n v="15"/>
    <n v="1"/>
    <s v="N/A"/>
    <s v="N/A"/>
    <s v="New Ticket"/>
    <s v="No SLA for Request"/>
    <x v="1"/>
    <m/>
    <m/>
    <m/>
    <m/>
  </r>
  <r>
    <n v="111354"/>
    <d v="2019-12-04T16:07:00"/>
    <s v="Jde Prod Error Page"/>
    <s v="Julius Wright"/>
    <s v="jwirght@outlook.com"/>
    <x v="2"/>
    <x v="0"/>
    <x v="0"/>
    <x v="0"/>
    <x v="0"/>
    <d v="2019-12-18T10:45:00"/>
    <d v="2019-12-05T04:07:00"/>
    <x v="0"/>
    <x v="0"/>
    <x v="0"/>
    <s v="N/A"/>
    <x v="1"/>
    <n v="7"/>
    <n v="1"/>
    <s v="N/A"/>
    <s v="N/A"/>
    <s v="New Ticket"/>
    <d v="2019-12-11T00:00:00"/>
    <x v="0"/>
    <m/>
    <m/>
    <m/>
    <m/>
  </r>
  <r>
    <n v="111339"/>
    <d v="2019-11-04T14:51:00"/>
    <s v="Change Password &amp; Email Confirmation"/>
    <s v="Marvin Peters"/>
    <s v="mpeters@outlook.com"/>
    <x v="2"/>
    <x v="0"/>
    <x v="0"/>
    <x v="0"/>
    <x v="0"/>
    <d v="2019-12-18T10:41:00"/>
    <d v="2019-11-05T02:51:00"/>
    <x v="0"/>
    <x v="0"/>
    <x v="0"/>
    <s v="N/A"/>
    <x v="0"/>
    <n v="20"/>
    <n v="1"/>
    <s v="N/A"/>
    <s v="N/A"/>
    <s v="Close Ticket"/>
    <d v="2019-11-11T00:00:00"/>
    <x v="0"/>
    <m/>
    <m/>
    <m/>
    <m/>
  </r>
  <r>
    <n v="111341"/>
    <d v="2019-11-06T14:03:00"/>
    <s v="Relationship Module Message Error"/>
    <s v="Marvin Peters"/>
    <s v="mpeters@outlook.com"/>
    <x v="2"/>
    <x v="0"/>
    <x v="0"/>
    <x v="0"/>
    <x v="0"/>
    <d v="2019-12-13T18:21:00"/>
    <d v="2019-11-07T02:03:00"/>
    <x v="0"/>
    <x v="0"/>
    <x v="0"/>
    <s v="N/A"/>
    <x v="0"/>
    <n v="18"/>
    <n v="3"/>
    <s v="N/A"/>
    <s v="N/A"/>
    <s v="Close Ticket"/>
    <d v="2019-11-13T00:00:00"/>
    <x v="0"/>
    <m/>
    <m/>
    <m/>
    <m/>
  </r>
  <r>
    <n v="111303"/>
    <d v="2019-09-19T09:28:00"/>
    <s v="Double Amount In Eor/View Customer Account"/>
    <s v="Bladimir MacdoN/Ald"/>
    <s v="bmacdoN/Ald@outlook.com"/>
    <x v="2"/>
    <x v="0"/>
    <x v="0"/>
    <x v="0"/>
    <x v="0"/>
    <d v="2019-12-13T18:05:00"/>
    <d v="2019-09-19T21:28:00"/>
    <x v="0"/>
    <x v="0"/>
    <x v="0"/>
    <s v="N/A"/>
    <x v="0"/>
    <n v="13"/>
    <n v="1"/>
    <s v="N/A"/>
    <s v="N/A"/>
    <s v="Close Ticket"/>
    <d v="2019-09-26T00:00:00"/>
    <x v="0"/>
    <m/>
    <m/>
    <m/>
    <m/>
  </r>
  <r>
    <n v="111350"/>
    <d v="2019-11-26T17:45:00"/>
    <s v="Request To Access In Public"/>
    <s v="Aurora Miller"/>
    <s v="aurora.miller@outlook.com"/>
    <x v="2"/>
    <x v="0"/>
    <x v="1"/>
    <x v="0"/>
    <x v="0"/>
    <d v="2019-12-10T08:30:00"/>
    <d v="2019-11-27T05:45:00"/>
    <x v="0"/>
    <x v="0"/>
    <x v="0"/>
    <s v="N/A"/>
    <x v="0"/>
    <n v="4"/>
    <n v="0"/>
    <s v="N/A"/>
    <s v="N/A"/>
    <s v="New Ticket"/>
    <s v="No SLA for Request"/>
    <x v="1"/>
    <m/>
    <m/>
    <m/>
    <m/>
  </r>
  <r>
    <n v="111349"/>
    <d v="2019-11-25T17:13:00"/>
    <s v="3C Engine Not Working"/>
    <s v="Aurora Miller"/>
    <s v="aurora.miller@outlook.com"/>
    <x v="2"/>
    <x v="0"/>
    <x v="0"/>
    <x v="0"/>
    <x v="0"/>
    <d v="2019-12-02T17:31:00"/>
    <d v="2019-11-26T05:13:00"/>
    <x v="0"/>
    <x v="0"/>
    <x v="0"/>
    <s v="N/A"/>
    <x v="0"/>
    <n v="5"/>
    <n v="1"/>
    <s v="N/A"/>
    <s v="N/A"/>
    <s v="New Ticket"/>
    <d v="2019-12-02T00:00:00"/>
    <x v="0"/>
    <m/>
    <m/>
    <m/>
    <m/>
  </r>
  <r>
    <n v="111338"/>
    <d v="2019-10-30T16:53:00"/>
    <s v="Prod: Zero Value In Payroll Run Result"/>
    <s v="Melody Thompson"/>
    <s v="mthompson@yahoo.com"/>
    <x v="2"/>
    <x v="0"/>
    <x v="0"/>
    <x v="0"/>
    <x v="0"/>
    <d v="2019-11-27T17:36:00"/>
    <d v="2019-11-22T17:00:00"/>
    <x v="0"/>
    <x v="0"/>
    <x v="0"/>
    <s v="N/A"/>
    <x v="1"/>
    <n v="33"/>
    <n v="20"/>
    <s v="N/A"/>
    <s v="N/A"/>
    <s v="New Ticket"/>
    <d v="2019-11-06T00:00:00"/>
    <x v="0"/>
    <m/>
    <m/>
    <m/>
    <m/>
  </r>
  <r>
    <n v="111342"/>
    <d v="2019-11-06T18:11:00"/>
    <s v="Prod: Cos - Record Has Been Entered Already"/>
    <s v="Troy Daniels"/>
    <s v="troy.daniels@outlook.com"/>
    <x v="2"/>
    <x v="0"/>
    <x v="0"/>
    <x v="0"/>
    <x v="0"/>
    <d v="2019-11-27T17:14:00"/>
    <d v="2019-11-21T17:00:00"/>
    <x v="0"/>
    <x v="0"/>
    <x v="0"/>
    <s v="N/A"/>
    <x v="1"/>
    <n v="22"/>
    <n v="11"/>
    <s v="N/A"/>
    <s v="N/A"/>
    <s v="New Ticket"/>
    <d v="2019-11-13T00:00:00"/>
    <x v="0"/>
    <m/>
    <m/>
    <m/>
    <m/>
  </r>
  <r>
    <n v="111348"/>
    <d v="2019-11-25T14:56:00"/>
    <s v="Jde Test: End Date The Multiple Element Entries"/>
    <s v="Melody Thompson"/>
    <s v="mthompson@yahoo.com"/>
    <x v="2"/>
    <x v="0"/>
    <x v="1"/>
    <x v="0"/>
    <x v="0"/>
    <d v="2019-11-27T17:12:00"/>
    <d v="2019-11-26T02:56:00"/>
    <x v="0"/>
    <x v="0"/>
    <x v="0"/>
    <s v="N/A"/>
    <x v="1"/>
    <n v="8"/>
    <n v="5"/>
    <s v="N/A"/>
    <s v="N/A"/>
    <s v="New Ticket"/>
    <s v="No SLA for Request"/>
    <x v="1"/>
    <m/>
    <m/>
    <m/>
    <m/>
  </r>
  <r>
    <n v="111344"/>
    <d v="2019-11-15T14:27:00"/>
    <s v="Vpn For Coloc Instances"/>
    <s v="Aurora Miller"/>
    <s v="aurora.miller@outlook.com"/>
    <x v="2"/>
    <x v="0"/>
    <x v="1"/>
    <x v="0"/>
    <x v="0"/>
    <d v="2019-11-25T17:24:00"/>
    <d v="2019-11-16T02:27:00"/>
    <x v="0"/>
    <x v="0"/>
    <x v="0"/>
    <s v="N/A"/>
    <x v="3"/>
    <n v="5"/>
    <n v="0"/>
    <s v="N/A"/>
    <s v="N/A"/>
    <s v="Close Ticket"/>
    <s v="No SLA for Request"/>
    <x v="1"/>
    <m/>
    <m/>
    <m/>
    <m/>
  </r>
  <r>
    <n v="111345"/>
    <d v="2019-11-15T18:10:00"/>
    <s v="Jde Test - Slowdown"/>
    <s v="Reah Junes"/>
    <s v="rjunes@yahoo.com"/>
    <x v="2"/>
    <x v="0"/>
    <x v="0"/>
    <x v="0"/>
    <x v="0"/>
    <d v="2019-11-21T17:45:00"/>
    <d v="2019-11-16T06:10:00"/>
    <x v="0"/>
    <x v="0"/>
    <x v="0"/>
    <s v="N/A"/>
    <x v="1"/>
    <n v="7"/>
    <n v="1"/>
    <s v="N/A"/>
    <s v="N/A"/>
    <s v="New Ticket"/>
    <d v="2019-11-22T00:00:00"/>
    <x v="2"/>
    <m/>
    <m/>
    <m/>
    <m/>
  </r>
  <r>
    <n v="111328"/>
    <d v="2019-10-17T11:55:00"/>
    <s v="Dev Instance Not Accessible"/>
    <s v="Aurora Miller"/>
    <s v="aurora.miller@outlook.com"/>
    <x v="2"/>
    <x v="0"/>
    <x v="1"/>
    <x v="0"/>
    <x v="0"/>
    <d v="2019-11-15T17:29:00"/>
    <d v="2019-10-17T23:55:00"/>
    <x v="0"/>
    <x v="0"/>
    <x v="0"/>
    <s v="N/A"/>
    <x v="0"/>
    <n v="7"/>
    <n v="1"/>
    <s v="N/A"/>
    <s v="N/A"/>
    <s v="Close Ticket"/>
    <s v="No SLA for Request"/>
    <x v="1"/>
    <m/>
    <m/>
    <m/>
    <m/>
  </r>
  <r>
    <n v="111343"/>
    <d v="2019-11-07T16:37:00"/>
    <s v="Dev Instance: Adding Extra Assignment Information"/>
    <s v="Melody Thompson"/>
    <s v="mthompson@yahoo.com"/>
    <x v="2"/>
    <x v="0"/>
    <x v="1"/>
    <x v="0"/>
    <x v="0"/>
    <d v="2019-11-08T16:01:00"/>
    <d v="2019-11-08T04:37:00"/>
    <x v="0"/>
    <x v="0"/>
    <x v="0"/>
    <s v="N/A"/>
    <x v="1"/>
    <n v="4"/>
    <n v="2"/>
    <s v="N/A"/>
    <s v="N/A"/>
    <s v="New Ticket"/>
    <s v="No SLA for Request"/>
    <x v="1"/>
    <m/>
    <m/>
    <m/>
    <m/>
  </r>
  <r>
    <n v="111332"/>
    <d v="2019-10-25T10:15:00"/>
    <s v="How To Get Image In Bi Publisher"/>
    <s v="Aurora Miller"/>
    <s v="aurora.miller@outlook.com"/>
    <x v="2"/>
    <x v="0"/>
    <x v="1"/>
    <x v="0"/>
    <x v="0"/>
    <d v="2019-11-06T17:33:00"/>
    <d v="2019-10-25T22:15:00"/>
    <x v="0"/>
    <x v="0"/>
    <x v="0"/>
    <s v="N/A"/>
    <x v="0"/>
    <n v="5"/>
    <n v="0"/>
    <s v="N/A"/>
    <s v="N/A"/>
    <s v="Close Ticket"/>
    <s v="No SLA for Request"/>
    <x v="1"/>
    <m/>
    <m/>
    <m/>
    <m/>
  </r>
  <r>
    <n v="111340"/>
    <d v="2019-11-05T10:44:00"/>
    <s v="Cannot Connect To Vpn"/>
    <s v="Aurora Miller"/>
    <s v="aurora.miller@outlook.com"/>
    <x v="2"/>
    <x v="0"/>
    <x v="1"/>
    <x v="0"/>
    <x v="0"/>
    <d v="2019-11-05T14:20:00"/>
    <d v="2019-11-05T22:44:00"/>
    <x v="0"/>
    <x v="0"/>
    <x v="0"/>
    <s v="N/A"/>
    <x v="3"/>
    <n v="7"/>
    <n v="0"/>
    <s v="N/A"/>
    <s v="N/A"/>
    <s v="Close Ticket"/>
    <s v="No SLA for Request"/>
    <x v="1"/>
    <m/>
    <m/>
    <m/>
    <m/>
  </r>
  <r>
    <n v="111330"/>
    <d v="2019-10-21T17:25:00"/>
    <s v="App-Pay-07010 Cannot Insert Assignment Process"/>
    <s v="Melody Thompson"/>
    <s v="mthompson@yahoo.com"/>
    <x v="2"/>
    <x v="0"/>
    <x v="0"/>
    <x v="0"/>
    <x v="0"/>
    <d v="2019-10-29T17:30:00"/>
    <d v="2019-10-24T17:00:00"/>
    <x v="0"/>
    <x v="0"/>
    <x v="0"/>
    <s v="N/A"/>
    <x v="1"/>
    <n v="8"/>
    <n v="4"/>
    <s v="N/A"/>
    <s v="N/A"/>
    <s v="New Ticket"/>
    <d v="2019-10-28T00:00:00"/>
    <x v="0"/>
    <m/>
    <m/>
    <m/>
    <m/>
  </r>
  <r>
    <n v="111315"/>
    <d v="2019-10-03T08:18:00"/>
    <s v="Jde Prod Dv Approval Issue"/>
    <s v="Julius Wright"/>
    <s v="jwirght@outlook.com"/>
    <x v="2"/>
    <x v="0"/>
    <x v="0"/>
    <x v="0"/>
    <x v="0"/>
    <d v="2019-10-24T17:04:00"/>
    <d v="2019-10-21T17:00:00"/>
    <x v="0"/>
    <x v="0"/>
    <x v="0"/>
    <s v="N/A"/>
    <x v="1"/>
    <n v="21"/>
    <n v="5"/>
    <s v="N/A"/>
    <s v="N/A"/>
    <s v="New Ticket"/>
    <d v="2019-10-10T00:00:00"/>
    <x v="0"/>
    <m/>
    <m/>
    <m/>
    <m/>
  </r>
  <r>
    <n v="111329"/>
    <d v="2019-10-18T15:57:00"/>
    <s v="Prod: Error Value Scholar Has Been Disabled"/>
    <s v="Melody Thompson"/>
    <s v="mthompson@yahoo.com"/>
    <x v="2"/>
    <x v="0"/>
    <x v="0"/>
    <x v="0"/>
    <x v="0"/>
    <d v="2019-10-24T17:02:00"/>
    <d v="2019-10-21T17:00:00"/>
    <x v="0"/>
    <x v="0"/>
    <x v="0"/>
    <s v="N/A"/>
    <x v="1"/>
    <n v="9"/>
    <n v="5"/>
    <s v="N/A"/>
    <s v="N/A"/>
    <s v="New Ticket"/>
    <d v="2019-10-25T00:00:00"/>
    <x v="2"/>
    <m/>
    <m/>
    <m/>
    <m/>
  </r>
  <r>
    <n v="111323"/>
    <d v="2019-10-11T13:43:00"/>
    <s v="Jde Prod Slowdown Posting JourN/Al"/>
    <s v="Julius Wright"/>
    <s v="jwirght@outlook.com"/>
    <x v="2"/>
    <x v="0"/>
    <x v="0"/>
    <x v="0"/>
    <x v="0"/>
    <d v="2019-10-22T18:06:00"/>
    <d v="2019-10-12T01:43:00"/>
    <x v="0"/>
    <x v="0"/>
    <x v="0"/>
    <s v="N/A"/>
    <x v="1"/>
    <n v="23"/>
    <n v="3"/>
    <s v="N/A"/>
    <s v="N/A"/>
    <s v="New Ticket"/>
    <d v="2019-10-18T00:00:00"/>
    <x v="0"/>
    <m/>
    <m/>
    <m/>
    <m/>
  </r>
  <r>
    <n v="111319"/>
    <d v="2019-10-07T13:35:00"/>
    <s v="Slow To IN/Accessible Test Instance"/>
    <s v="Kenex Willows"/>
    <s v="kwillows@yahoo.com"/>
    <x v="2"/>
    <x v="0"/>
    <x v="0"/>
    <x v="0"/>
    <x v="0"/>
    <d v="2019-10-18T10:05:00"/>
    <d v="2019-10-08T01:35:00"/>
    <x v="0"/>
    <x v="0"/>
    <x v="0"/>
    <s v="N/A"/>
    <x v="1"/>
    <n v="8"/>
    <n v="2"/>
    <s v="N/A"/>
    <s v="N/A"/>
    <s v="Close Ticket"/>
    <d v="2019-10-14T00:00:00"/>
    <x v="0"/>
    <m/>
    <m/>
    <m/>
    <m/>
  </r>
  <r>
    <n v="111313"/>
    <d v="2019-10-02T15:40:00"/>
    <s v="Modifying Of Fields In ExterN/Al Learning"/>
    <s v="Troy Daniels"/>
    <s v="troy.daniels@outlook.com"/>
    <x v="2"/>
    <x v="0"/>
    <x v="1"/>
    <x v="0"/>
    <x v="0"/>
    <d v="2019-10-16T17:40:00"/>
    <d v="2019-10-14T07:00:00"/>
    <x v="0"/>
    <x v="0"/>
    <x v="0"/>
    <s v="N/A"/>
    <x v="1"/>
    <n v="10"/>
    <n v="3"/>
    <s v="N/A"/>
    <s v="N/A"/>
    <s v="New Ticket"/>
    <s v="No SLA for Request"/>
    <x v="1"/>
    <m/>
    <m/>
    <m/>
    <m/>
  </r>
  <r>
    <n v="111327"/>
    <d v="2019-10-15T15:04:00"/>
    <s v="Sort Element N/Ame Alphabetically"/>
    <s v="Melody Thompson"/>
    <s v="mthompson@yahoo.com"/>
    <x v="2"/>
    <x v="0"/>
    <x v="1"/>
    <x v="0"/>
    <x v="0"/>
    <d v="2019-10-16T13:24:00"/>
    <d v="2019-10-16T17:00:00"/>
    <x v="0"/>
    <x v="0"/>
    <x v="0"/>
    <s v="N/A"/>
    <x v="1"/>
    <n v="6"/>
    <n v="1"/>
    <s v="N/A"/>
    <s v="N/A"/>
    <s v="New Ticket"/>
    <s v="No SLA for Request"/>
    <x v="1"/>
    <m/>
    <m/>
    <m/>
    <m/>
  </r>
  <r>
    <n v="111289"/>
    <d v="2019-08-20T10:44:00"/>
    <s v="UN/Able To Tuition Calculate The Student (Upmnl)"/>
    <s v="Bladimir MacdoN/Ald"/>
    <s v="bmacdoN/Ald@outlook.com"/>
    <x v="2"/>
    <x v="0"/>
    <x v="0"/>
    <x v="0"/>
    <x v="0"/>
    <d v="2019-10-15T17:14:00"/>
    <d v="2019-08-20T22:44:00"/>
    <x v="0"/>
    <x v="0"/>
    <x v="0"/>
    <s v="N/A"/>
    <x v="0"/>
    <n v="16"/>
    <n v="5"/>
    <s v="N/A"/>
    <s v="N/A"/>
    <s v="New Ticket"/>
    <d v="2019-08-27T00:00:00"/>
    <x v="0"/>
    <m/>
    <m/>
    <m/>
    <m/>
  </r>
  <r>
    <n v="111311"/>
    <d v="2019-09-30T10:07:00"/>
    <s v="Duplicates Subject In Eor."/>
    <s v="Jasper John"/>
    <s v="jasper.john@gmail.com"/>
    <x v="2"/>
    <x v="0"/>
    <x v="0"/>
    <x v="0"/>
    <x v="0"/>
    <d v="2019-10-09T17:06:00"/>
    <d v="2019-09-30T22:07:00"/>
    <x v="0"/>
    <x v="0"/>
    <x v="0"/>
    <s v="N/A"/>
    <x v="0"/>
    <n v="17"/>
    <n v="3"/>
    <s v="N/A"/>
    <s v="N/A"/>
    <s v="New Ticket"/>
    <d v="2019-10-07T00:00:00"/>
    <x v="0"/>
    <m/>
    <m/>
    <m/>
    <m/>
  </r>
  <r>
    <n v="111316"/>
    <d v="2019-10-03T17:03:00"/>
    <s v="Test Instance: Add New Element Under Entries"/>
    <s v="Melody Thompson"/>
    <s v="mthompson@yahoo.com"/>
    <x v="2"/>
    <x v="0"/>
    <x v="1"/>
    <x v="0"/>
    <x v="0"/>
    <d v="2019-10-07T17:24:00"/>
    <d v="2019-10-04T05:03:00"/>
    <x v="0"/>
    <x v="0"/>
    <x v="0"/>
    <s v="N/A"/>
    <x v="1"/>
    <n v="6"/>
    <n v="3"/>
    <s v="N/A"/>
    <s v="N/A"/>
    <s v="New Ticket"/>
    <s v="No SLA for Request"/>
    <x v="1"/>
    <m/>
    <m/>
    <m/>
    <m/>
  </r>
  <r>
    <n v="111308"/>
    <d v="2019-09-25T16:35:00"/>
    <s v="Jde Test Instance Slowdown"/>
    <s v="Julius Wright"/>
    <s v="jwirght@outlook.com"/>
    <x v="2"/>
    <x v="0"/>
    <x v="0"/>
    <x v="0"/>
    <x v="0"/>
    <d v="2019-10-07T17:11:00"/>
    <d v="2019-09-26T04:35:00"/>
    <x v="0"/>
    <x v="0"/>
    <x v="0"/>
    <s v="N/A"/>
    <x v="1"/>
    <n v="7"/>
    <n v="1"/>
    <s v="N/A"/>
    <s v="N/A"/>
    <s v="New Ticket"/>
    <d v="2019-10-02T00:00:00"/>
    <x v="0"/>
    <m/>
    <m/>
    <m/>
    <m/>
  </r>
  <r>
    <n v="111305"/>
    <d v="2019-09-20T16:18:00"/>
    <s v="Data Error In Production Instance"/>
    <s v="Marvin Peters"/>
    <s v="mpeters@outlook.com"/>
    <x v="2"/>
    <x v="0"/>
    <x v="0"/>
    <x v="0"/>
    <x v="0"/>
    <d v="2019-10-03T17:41:00"/>
    <d v="2019-09-21T04:18:00"/>
    <x v="0"/>
    <x v="0"/>
    <x v="0"/>
    <s v="N/A"/>
    <x v="0"/>
    <n v="11"/>
    <n v="1"/>
    <s v="N/A"/>
    <s v="N/A"/>
    <s v="Close Ticket"/>
    <d v="2019-09-27T00:00:00"/>
    <x v="0"/>
    <m/>
    <m/>
    <m/>
    <m/>
  </r>
  <r>
    <n v="111309"/>
    <d v="2019-09-26T09:01:00"/>
    <s v="UN/Able To Submit Certificates And Service Records"/>
    <s v="Troy Daniels"/>
    <s v="troy.daniels@outlook.com"/>
    <x v="2"/>
    <x v="0"/>
    <x v="0"/>
    <x v="0"/>
    <x v="0"/>
    <d v="2019-10-02T17:18:00"/>
    <d v="2019-09-27T17:00:00"/>
    <x v="0"/>
    <x v="0"/>
    <x v="0"/>
    <s v="N/A"/>
    <x v="1"/>
    <n v="10"/>
    <n v="3"/>
    <s v="N/A"/>
    <s v="N/A"/>
    <s v="New Ticket"/>
    <d v="2019-10-03T00:00:00"/>
    <x v="2"/>
    <m/>
    <m/>
    <m/>
    <m/>
  </r>
  <r>
    <n v="111234"/>
    <d v="2019-06-19T11:21:00"/>
    <s v="Mysql Server Access Configuration"/>
    <s v="Atom Short"/>
    <s v="atom.short@gmail.com"/>
    <x v="2"/>
    <x v="1"/>
    <x v="1"/>
    <x v="2"/>
    <x v="0"/>
    <d v="2019-10-01T10:46:00"/>
    <d v="2019-06-20T17:00:00"/>
    <x v="0"/>
    <x v="0"/>
    <x v="2"/>
    <s v="N/A"/>
    <x v="4"/>
    <n v="15"/>
    <n v="0"/>
    <s v="N/A"/>
    <s v="N/A"/>
    <s v="New Ticket"/>
    <s v="No SLA for Request"/>
    <x v="1"/>
    <m/>
    <m/>
    <m/>
    <m/>
  </r>
  <r>
    <n v="111211"/>
    <d v="2019-05-27T15:57:00"/>
    <s v="Missing DyN/Aform N/Ames"/>
    <s v="Atom Short"/>
    <s v="atom.short@gmail.com"/>
    <x v="2"/>
    <x v="1"/>
    <x v="0"/>
    <x v="1"/>
    <x v="0"/>
    <d v="2019-10-01T10:45:00"/>
    <d v="2019-05-28T03:57:00"/>
    <x v="0"/>
    <x v="0"/>
    <x v="2"/>
    <s v="N/A"/>
    <x v="8"/>
    <n v="7"/>
    <n v="0"/>
    <s v="N/A"/>
    <s v="N/A"/>
    <s v="New Ticket"/>
    <d v="2019-06-03T00:00:00"/>
    <x v="0"/>
    <m/>
    <m/>
    <m/>
    <m/>
  </r>
  <r>
    <n v="111310"/>
    <d v="2019-09-27T08:20:00"/>
    <s v="Test Instance: Modify Employee Categories"/>
    <s v="Melody Thompson"/>
    <s v="mthompson@yahoo.com"/>
    <x v="2"/>
    <x v="0"/>
    <x v="1"/>
    <x v="0"/>
    <x v="0"/>
    <d v="2019-09-27T17:25:00"/>
    <d v="2019-09-27T17:00:00"/>
    <x v="0"/>
    <x v="0"/>
    <x v="0"/>
    <s v="N/A"/>
    <x v="1"/>
    <n v="6"/>
    <n v="5"/>
    <s v="N/A"/>
    <s v="N/A"/>
    <s v="New Ticket"/>
    <s v="No SLA for Request"/>
    <x v="1"/>
    <m/>
    <m/>
    <m/>
    <m/>
  </r>
  <r>
    <n v="111307"/>
    <d v="2019-09-25T13:46:00"/>
    <s v="Test Instance: App-Pay-07722 Error"/>
    <s v="Melody Thompson"/>
    <s v="mthompson@yahoo.com"/>
    <x v="2"/>
    <x v="0"/>
    <x v="0"/>
    <x v="0"/>
    <x v="0"/>
    <d v="2019-09-27T08:13:00"/>
    <d v="2019-09-26T17:00:00"/>
    <x v="0"/>
    <x v="0"/>
    <x v="0"/>
    <s v="N/A"/>
    <x v="1"/>
    <n v="9"/>
    <n v="5"/>
    <s v="N/A"/>
    <s v="N/A"/>
    <s v="New Ticket"/>
    <d v="2019-10-02T00:00:00"/>
    <x v="2"/>
    <m/>
    <m/>
    <m/>
    <m/>
  </r>
  <r>
    <n v="111304"/>
    <d v="2019-09-20T11:21:00"/>
    <s v="Project Migration From Dev To Prod Instance"/>
    <s v="Bladimir MacdoN/Ald"/>
    <s v="bmacdoN/Ald@outlook.com"/>
    <x v="2"/>
    <x v="0"/>
    <x v="1"/>
    <x v="0"/>
    <x v="0"/>
    <d v="2019-09-26T16:51:00"/>
    <d v="2019-09-20T23:21:00"/>
    <x v="0"/>
    <x v="0"/>
    <x v="0"/>
    <s v="N/A"/>
    <x v="0"/>
    <n v="6"/>
    <n v="0"/>
    <s v="N/A"/>
    <s v="N/A"/>
    <s v="New Ticket"/>
    <s v="No SLA for Request"/>
    <x v="1"/>
    <m/>
    <m/>
    <m/>
    <m/>
  </r>
  <r>
    <n v="111302"/>
    <d v="2019-09-17T16:48:00"/>
    <s v="Query MaN/Ager Error"/>
    <s v="Marvin Peters"/>
    <s v="mpeters@outlook.com"/>
    <x v="2"/>
    <x v="0"/>
    <x v="0"/>
    <x v="0"/>
    <x v="0"/>
    <d v="2019-09-20T10:39:00"/>
    <d v="2019-09-18T04:48:00"/>
    <x v="0"/>
    <x v="0"/>
    <x v="0"/>
    <s v="N/A"/>
    <x v="0"/>
    <n v="8"/>
    <n v="2"/>
    <s v="N/A"/>
    <s v="N/A"/>
    <s v="Close Ticket"/>
    <d v="2019-09-24T00:00:00"/>
    <x v="2"/>
    <m/>
    <m/>
    <m/>
    <m/>
  </r>
  <r>
    <n v="111300"/>
    <d v="2019-09-11T18:31:00"/>
    <s v="Prod: Error In Procurement"/>
    <s v="Riza Richardson"/>
    <s v="rrichardson@mailiN/Ator.com"/>
    <x v="2"/>
    <x v="0"/>
    <x v="0"/>
    <x v="0"/>
    <x v="0"/>
    <d v="2019-09-20T08:18:00"/>
    <d v="2019-09-16T17:00:00"/>
    <x v="0"/>
    <x v="0"/>
    <x v="0"/>
    <s v="N/A"/>
    <x v="1"/>
    <n v="13"/>
    <n v="5"/>
    <s v="N/A"/>
    <s v="N/A"/>
    <s v="New Ticket"/>
    <d v="2019-09-18T00:00:00"/>
    <x v="0"/>
    <m/>
    <m/>
    <m/>
    <m/>
  </r>
  <r>
    <n v="111294"/>
    <d v="2019-09-02T09:34:00"/>
    <s v="Jde Prod Error In Paying A Dv"/>
    <s v="Julius Wright"/>
    <s v="jwirght@outlook.com"/>
    <x v="2"/>
    <x v="0"/>
    <x v="0"/>
    <x v="0"/>
    <x v="0"/>
    <d v="2019-09-18T17:19:00"/>
    <d v="2019-09-13T17:00:00"/>
    <x v="0"/>
    <x v="0"/>
    <x v="0"/>
    <s v="N/A"/>
    <x v="1"/>
    <n v="20"/>
    <n v="5"/>
    <s v="N/A"/>
    <s v="N/A"/>
    <s v="New Ticket"/>
    <d v="2019-09-09T00:00:00"/>
    <x v="0"/>
    <m/>
    <m/>
    <m/>
    <m/>
  </r>
  <r>
    <n v="111298"/>
    <d v="2019-09-09T17:12:00"/>
    <s v="UN/Able To Get Term Begin Date. (14813,43)"/>
    <s v="Bladimir MacdoN/Ald"/>
    <s v="bmacdoN/Ald@outlook.com"/>
    <x v="2"/>
    <x v="0"/>
    <x v="0"/>
    <x v="0"/>
    <x v="0"/>
    <d v="2019-09-17T17:00:00"/>
    <d v="2019-09-10T05:12:00"/>
    <x v="0"/>
    <x v="0"/>
    <x v="0"/>
    <s v="N/A"/>
    <x v="1"/>
    <n v="10"/>
    <n v="2"/>
    <s v="N/A"/>
    <s v="N/A"/>
    <s v="New Ticket"/>
    <d v="2019-09-16T00:00:00"/>
    <x v="0"/>
    <m/>
    <m/>
    <m/>
    <m/>
  </r>
  <r>
    <n v="111153"/>
    <d v="2019-03-20T15:49:00"/>
    <s v="Enrolled Students Are Not Equal In Class Roster"/>
    <s v="Jasper John"/>
    <s v="jasper.john@gmail.com"/>
    <x v="2"/>
    <x v="0"/>
    <x v="0"/>
    <x v="0"/>
    <x v="0"/>
    <d v="2019-09-11T17:25:00"/>
    <s v="N/A"/>
    <x v="0"/>
    <x v="0"/>
    <x v="0"/>
    <s v="N/A"/>
    <x v="0"/>
    <n v="35"/>
    <n v="8"/>
    <s v="N/A"/>
    <s v="N/A"/>
    <s v="New Ticket"/>
    <d v="2019-03-27T00:00:00"/>
    <x v="0"/>
    <m/>
    <m/>
    <m/>
    <m/>
  </r>
  <r>
    <n v="111150"/>
    <d v="2019-03-20T13:18:00"/>
    <s v="Report Issue"/>
    <s v="Aurora Miller"/>
    <s v="aurora.miller@outlook.com"/>
    <x v="2"/>
    <x v="0"/>
    <x v="0"/>
    <x v="0"/>
    <x v="0"/>
    <d v="2019-09-11T17:25:00"/>
    <s v="N/A"/>
    <x v="0"/>
    <x v="0"/>
    <x v="0"/>
    <s v="N/A"/>
    <x v="0"/>
    <n v="26"/>
    <n v="6"/>
    <s v="N/A"/>
    <s v="N/A"/>
    <s v="Close Ticket"/>
    <d v="2019-03-27T00:00:00"/>
    <x v="0"/>
    <m/>
    <m/>
    <m/>
    <m/>
  </r>
  <r>
    <n v="111259"/>
    <d v="2019-07-15T12:05:00"/>
    <s v="Batch Process Error"/>
    <s v="Jasper John"/>
    <s v="jasper.john@gmail.com"/>
    <x v="2"/>
    <x v="0"/>
    <x v="0"/>
    <x v="0"/>
    <x v="0"/>
    <d v="2019-09-11T17:24:00"/>
    <s v="N/A"/>
    <x v="0"/>
    <x v="0"/>
    <x v="0"/>
    <s v="N/A"/>
    <x v="0"/>
    <n v="11"/>
    <n v="4"/>
    <s v="N/A"/>
    <s v="N/A"/>
    <s v="Close Ticket"/>
    <d v="2019-07-22T00:00:00"/>
    <x v="0"/>
    <m/>
    <m/>
    <m/>
    <m/>
  </r>
  <r>
    <n v="111214"/>
    <d v="2019-05-28T14:21:00"/>
    <s v="Jde Prod - Expense Report Approval Issue"/>
    <s v="Julius Wright"/>
    <s v="jwirght@outlook.com"/>
    <x v="2"/>
    <x v="0"/>
    <x v="0"/>
    <x v="0"/>
    <x v="0"/>
    <d v="2019-09-09T12:35:00"/>
    <d v="2019-09-06T17:00:00"/>
    <x v="0"/>
    <x v="0"/>
    <x v="0"/>
    <s v="N/A"/>
    <x v="1"/>
    <n v="17"/>
    <n v="5"/>
    <s v="N/A"/>
    <s v="N/A"/>
    <s v="New Ticket"/>
    <d v="2019-06-04T00:00:00"/>
    <x v="0"/>
    <m/>
    <m/>
    <m/>
    <m/>
  </r>
  <r>
    <n v="111189"/>
    <d v="2019-04-30T14:19:00"/>
    <s v="Request For Patch Application In Dev Instance"/>
    <s v="Reah Junes"/>
    <s v="rjunes@yahoo.com"/>
    <x v="2"/>
    <x v="0"/>
    <x v="1"/>
    <x v="0"/>
    <x v="0"/>
    <d v="2019-09-06T17:26:00"/>
    <d v="2019-05-01T02:19:00"/>
    <x v="0"/>
    <x v="0"/>
    <x v="0"/>
    <s v="N/A"/>
    <x v="1"/>
    <n v="20"/>
    <n v="1"/>
    <s v="N/A"/>
    <s v="N/A"/>
    <s v="New Ticket"/>
    <s v="No SLA for Request"/>
    <x v="1"/>
    <m/>
    <m/>
    <m/>
    <m/>
  </r>
  <r>
    <n v="111233"/>
    <d v="2019-06-17T10:32:00"/>
    <s v="Jde Test Date Format"/>
    <s v="Julius Wright"/>
    <s v="jwirght@outlook.com"/>
    <x v="2"/>
    <x v="0"/>
    <x v="0"/>
    <x v="0"/>
    <x v="0"/>
    <d v="2019-09-04T10:06:00"/>
    <s v="N/A"/>
    <x v="0"/>
    <x v="0"/>
    <x v="0"/>
    <s v="N/A"/>
    <x v="1"/>
    <n v="10"/>
    <n v="2"/>
    <s v="N/A"/>
    <s v="N/A"/>
    <s v="Close Ticket"/>
    <d v="2019-06-24T00:00:00"/>
    <x v="0"/>
    <m/>
    <m/>
    <m/>
    <m/>
  </r>
  <r>
    <n v="111253"/>
    <d v="2019-07-08T16:37:00"/>
    <s v="Jde Prod - Bank Account Issue"/>
    <s v="Julius Wright"/>
    <s v="jwirght@outlook.com"/>
    <x v="2"/>
    <x v="0"/>
    <x v="0"/>
    <x v="0"/>
    <x v="0"/>
    <d v="2019-09-04T09:41:00"/>
    <s v="N/A"/>
    <x v="0"/>
    <x v="0"/>
    <x v="0"/>
    <s v="N/A"/>
    <x v="1"/>
    <n v="31"/>
    <n v="10"/>
    <s v="N/A"/>
    <s v="N/A"/>
    <s v="New Ticket"/>
    <d v="2019-07-15T00:00:00"/>
    <x v="0"/>
    <m/>
    <m/>
    <m/>
    <m/>
  </r>
  <r>
    <n v="111290"/>
    <d v="2019-08-23T16:14:00"/>
    <s v="Error On Submitting Authority To Fill"/>
    <s v="Troy Daniels"/>
    <s v="troy.daniels@outlook.com"/>
    <x v="2"/>
    <x v="0"/>
    <x v="0"/>
    <x v="0"/>
    <x v="0"/>
    <d v="2019-09-03T17:48:00"/>
    <d v="2019-08-29T17:00:00"/>
    <x v="0"/>
    <x v="0"/>
    <x v="0"/>
    <s v="N/A"/>
    <x v="1"/>
    <n v="13"/>
    <n v="4"/>
    <s v="N/A"/>
    <s v="N/A"/>
    <s v="New Ticket"/>
    <d v="2019-08-30T00:00:00"/>
    <x v="0"/>
    <m/>
    <m/>
    <m/>
    <m/>
  </r>
  <r>
    <n v="111172"/>
    <d v="2019-04-08T09:18:00"/>
    <s v="Jde Test Instance - Error Not Setup As Worker"/>
    <s v="Julius Wright"/>
    <s v="jwirght@outlook.com"/>
    <x v="2"/>
    <x v="0"/>
    <x v="0"/>
    <x v="0"/>
    <x v="0"/>
    <d v="2019-09-03T17:31:00"/>
    <s v="N/A"/>
    <x v="0"/>
    <x v="0"/>
    <x v="0"/>
    <s v="N/A"/>
    <x v="1"/>
    <n v="21"/>
    <n v="4"/>
    <s v="N/A"/>
    <s v="N/A"/>
    <s v="Close Ticket"/>
    <d v="2019-04-15T00:00:00"/>
    <x v="0"/>
    <m/>
    <m/>
    <m/>
    <m/>
  </r>
  <r>
    <n v="111280"/>
    <d v="2019-08-01T15:54:00"/>
    <s v="Beacon Support Ticket Account"/>
    <s v="Julius Wright"/>
    <s v="jwirght@outlook.com"/>
    <x v="2"/>
    <x v="0"/>
    <x v="1"/>
    <x v="0"/>
    <x v="0"/>
    <d v="2019-09-02T17:30:00"/>
    <d v="2019-08-02T03:54:00"/>
    <x v="0"/>
    <x v="0"/>
    <x v="0"/>
    <s v="N/A"/>
    <x v="1"/>
    <n v="9"/>
    <n v="0"/>
    <s v="N/A"/>
    <s v="N/A"/>
    <s v="New Ticket"/>
    <s v="No SLA for Request"/>
    <x v="1"/>
    <m/>
    <m/>
    <m/>
    <m/>
  </r>
  <r>
    <n v="111293"/>
    <d v="2019-08-30T08:51:00"/>
    <s v="Prod: Find A Specific Table In Oracle"/>
    <s v="Melody Thompson"/>
    <s v="mthompson@yahoo.com"/>
    <x v="2"/>
    <x v="0"/>
    <x v="1"/>
    <x v="0"/>
    <x v="0"/>
    <d v="2019-08-30T14:42:00"/>
    <d v="2019-08-30T17:00:00"/>
    <x v="0"/>
    <x v="0"/>
    <x v="0"/>
    <s v="N/A"/>
    <x v="1"/>
    <n v="5"/>
    <n v="0"/>
    <s v="N/A"/>
    <s v="N/A"/>
    <s v="New Ticket"/>
    <s v="No SLA for Request"/>
    <x v="1"/>
    <m/>
    <m/>
    <m/>
    <m/>
  </r>
  <r>
    <n v="111262"/>
    <d v="2019-07-16T11:19:00"/>
    <s v="Rehab 260(Osi)Error"/>
    <s v="Jasper John"/>
    <s v="jasper.john@gmail.com"/>
    <x v="2"/>
    <x v="0"/>
    <x v="0"/>
    <x v="0"/>
    <x v="0"/>
    <d v="2019-08-29T17:02:00"/>
    <d v="2019-07-16T23:19:00"/>
    <x v="0"/>
    <x v="0"/>
    <x v="0"/>
    <s v="N/A"/>
    <x v="0"/>
    <n v="23"/>
    <n v="2"/>
    <s v="N/A"/>
    <s v="N/A"/>
    <s v="New Ticket"/>
    <d v="2019-07-23T00:00:00"/>
    <x v="0"/>
    <m/>
    <m/>
    <m/>
    <m/>
  </r>
  <r>
    <n v="111207"/>
    <d v="2019-05-22T10:08:00"/>
    <s v="Removing Access To The Enrollment Page"/>
    <s v="Jasper John"/>
    <s v="jasper.john@gmail.com"/>
    <x v="2"/>
    <x v="0"/>
    <x v="1"/>
    <x v="0"/>
    <x v="0"/>
    <d v="2019-08-28T12:38:00"/>
    <s v="N/A"/>
    <x v="0"/>
    <x v="0"/>
    <x v="0"/>
    <s v="N/A"/>
    <x v="0"/>
    <n v="39"/>
    <n v="3"/>
    <s v="N/A"/>
    <s v="N/A"/>
    <s v="Close Ticket"/>
    <s v="No SLA for Request"/>
    <x v="1"/>
    <m/>
    <m/>
    <m/>
    <m/>
  </r>
  <r>
    <n v="111272"/>
    <d v="2019-07-25T15:17:00"/>
    <s v="Test Instance: Can'T Copy Paste Data In The Field"/>
    <s v="Melody Thompson"/>
    <s v="mthompson@yahoo.com"/>
    <x v="2"/>
    <x v="0"/>
    <x v="0"/>
    <x v="0"/>
    <x v="0"/>
    <d v="2019-08-27T17:09:00"/>
    <d v="2019-08-19T17:00:00"/>
    <x v="0"/>
    <x v="0"/>
    <x v="0"/>
    <s v="N/A"/>
    <x v="1"/>
    <n v="22"/>
    <n v="8"/>
    <s v="N/A"/>
    <s v="N/A"/>
    <s v="New Ticket"/>
    <d v="2019-08-01T00:00:00"/>
    <x v="0"/>
    <m/>
    <m/>
    <m/>
    <m/>
  </r>
  <r>
    <n v="111266"/>
    <d v="2019-07-19T09:42:00"/>
    <s v="Test Instance: How To Unchecked The Required Box"/>
    <s v="Melody Thompson"/>
    <s v="mthompson@yahoo.com"/>
    <x v="2"/>
    <x v="0"/>
    <x v="0"/>
    <x v="0"/>
    <x v="0"/>
    <d v="2019-08-27T17:07:00"/>
    <d v="2019-08-19T17:00:00"/>
    <x v="0"/>
    <x v="0"/>
    <x v="0"/>
    <s v="N/A"/>
    <x v="1"/>
    <n v="9"/>
    <n v="3"/>
    <s v="N/A"/>
    <s v="N/A"/>
    <s v="New Ticket"/>
    <d v="2019-07-26T00:00:00"/>
    <x v="0"/>
    <m/>
    <m/>
    <m/>
    <m/>
  </r>
  <r>
    <n v="111249"/>
    <d v="2019-07-04T17:29:00"/>
    <s v="Can'T Run A General Payroll Under Dev Environment"/>
    <s v="Melody Thompson"/>
    <s v="mthompson@yahoo.com"/>
    <x v="2"/>
    <x v="0"/>
    <x v="0"/>
    <x v="0"/>
    <x v="0"/>
    <d v="2019-08-27T17:06:00"/>
    <d v="2019-08-19T17:00:00"/>
    <x v="0"/>
    <x v="0"/>
    <x v="0"/>
    <s v="N/A"/>
    <x v="1"/>
    <n v="10"/>
    <n v="4"/>
    <s v="N/A"/>
    <s v="N/A"/>
    <s v="New Ticket"/>
    <d v="2019-07-11T00:00:00"/>
    <x v="0"/>
    <m/>
    <m/>
    <m/>
    <m/>
  </r>
  <r>
    <n v="111244"/>
    <d v="2019-06-28T10:41:00"/>
    <s v="Box Unchecked Under The Processed Button"/>
    <s v="Melody Thompson"/>
    <s v="mthompson@yahoo.com"/>
    <x v="2"/>
    <x v="0"/>
    <x v="0"/>
    <x v="0"/>
    <x v="0"/>
    <d v="2019-08-27T17:05:00"/>
    <d v="2019-08-19T17:00:00"/>
    <x v="0"/>
    <x v="0"/>
    <x v="0"/>
    <s v="N/A"/>
    <x v="1"/>
    <n v="10"/>
    <n v="1"/>
    <s v="N/A"/>
    <s v="N/A"/>
    <s v="Close Ticket"/>
    <d v="2019-07-05T00:00:00"/>
    <x v="0"/>
    <m/>
    <m/>
    <m/>
    <m/>
  </r>
  <r>
    <n v="111173"/>
    <d v="2019-04-10T13:04:00"/>
    <s v="Authority To Fill Error Using Dev &amp; Test Instance"/>
    <s v="Paul Jiggins"/>
    <s v="pjiggins@yahoo.com"/>
    <x v="2"/>
    <x v="0"/>
    <x v="0"/>
    <x v="0"/>
    <x v="0"/>
    <d v="2019-08-27T17:02:00"/>
    <d v="2019-08-19T17:00:00"/>
    <x v="0"/>
    <x v="0"/>
    <x v="0"/>
    <s v="N/A"/>
    <x v="1"/>
    <n v="11"/>
    <n v="2"/>
    <s v="N/A"/>
    <s v="N/A"/>
    <s v="New Ticket"/>
    <d v="2019-04-17T00:00:00"/>
    <x v="0"/>
    <m/>
    <m/>
    <m/>
    <m/>
  </r>
  <r>
    <n v="111282"/>
    <d v="2019-08-07T14:10:00"/>
    <s v="Error In Process Request."/>
    <s v="Jasper John"/>
    <s v="jasper.john@gmail.com"/>
    <x v="2"/>
    <x v="0"/>
    <x v="0"/>
    <x v="0"/>
    <x v="0"/>
    <d v="2019-08-20T17:01:00"/>
    <d v="2019-08-13T17:00:00"/>
    <x v="0"/>
    <x v="0"/>
    <x v="0"/>
    <s v="N/A"/>
    <x v="0"/>
    <n v="13"/>
    <n v="3"/>
    <s v="N/A"/>
    <s v="N/A"/>
    <s v="New Ticket"/>
    <d v="2019-08-14T00:00:00"/>
    <x v="0"/>
    <m/>
    <m/>
    <m/>
    <m/>
  </r>
  <r>
    <n v="111279"/>
    <d v="2019-08-01T10:00:00"/>
    <s v="Sql Database Account Prod"/>
    <s v="Julius Wright"/>
    <s v="jwirght@outlook.com"/>
    <x v="2"/>
    <x v="0"/>
    <x v="1"/>
    <x v="0"/>
    <x v="0"/>
    <d v="2019-08-13T14:26:00"/>
    <d v="2019-08-01T22:00:00"/>
    <x v="0"/>
    <x v="0"/>
    <x v="0"/>
    <s v="N/A"/>
    <x v="1"/>
    <n v="6"/>
    <n v="0"/>
    <s v="N/A"/>
    <s v="N/A"/>
    <s v="New Ticket"/>
    <s v="No SLA for Request"/>
    <x v="1"/>
    <m/>
    <m/>
    <m/>
    <m/>
  </r>
  <r>
    <n v="111278"/>
    <d v="2019-08-01T08:53:00"/>
    <s v="Vpn Account"/>
    <s v="Julius Wright"/>
    <s v="jwirght@outlook.com"/>
    <x v="2"/>
    <x v="0"/>
    <x v="1"/>
    <x v="0"/>
    <x v="0"/>
    <d v="2019-08-13T14:25:00"/>
    <d v="2019-08-01T20:53:00"/>
    <x v="0"/>
    <x v="0"/>
    <x v="0"/>
    <s v="N/A"/>
    <x v="3"/>
    <n v="5"/>
    <n v="0"/>
    <s v="N/A"/>
    <s v="N/A"/>
    <s v="New Ticket"/>
    <s v="No SLA for Request"/>
    <x v="1"/>
    <m/>
    <m/>
    <m/>
    <m/>
  </r>
  <r>
    <n v="111274"/>
    <d v="2019-07-29T10:12:00"/>
    <s v="Altering Position Type(List Of Values)"/>
    <s v="Troy Daniels"/>
    <s v="troy.daniels@outlook.com"/>
    <x v="2"/>
    <x v="0"/>
    <x v="0"/>
    <x v="0"/>
    <x v="0"/>
    <d v="2019-08-07T17:09:00"/>
    <d v="2019-08-02T17:00:00"/>
    <x v="0"/>
    <x v="0"/>
    <x v="0"/>
    <s v="N/A"/>
    <x v="1"/>
    <n v="9"/>
    <n v="3"/>
    <s v="N/A"/>
    <s v="N/A"/>
    <s v="New Ticket"/>
    <d v="2019-08-05T00:00:00"/>
    <x v="0"/>
    <m/>
    <m/>
    <m/>
    <m/>
  </r>
  <r>
    <n v="111277"/>
    <d v="2019-07-31T10:34:00"/>
    <s v="Creation Of Vpn Account"/>
    <s v="Troy Daniels"/>
    <s v="troy.daniels@outlook.com"/>
    <x v="2"/>
    <x v="0"/>
    <x v="1"/>
    <x v="0"/>
    <x v="0"/>
    <d v="2019-08-06T17:41:00"/>
    <d v="2019-07-31T22:34:00"/>
    <x v="0"/>
    <x v="0"/>
    <x v="0"/>
    <s v="N/A"/>
    <x v="3"/>
    <n v="9"/>
    <n v="0"/>
    <s v="N/A"/>
    <s v="N/A"/>
    <s v="New Ticket"/>
    <s v="No SLA for Request"/>
    <x v="1"/>
    <m/>
    <m/>
    <m/>
    <m/>
  </r>
  <r>
    <n v="111263"/>
    <d v="2019-07-16T11:29:00"/>
    <s v="Error Accesing Sap.Edu.Ph"/>
    <s v="Jasper John"/>
    <s v="jasper.john@gmail.com"/>
    <x v="2"/>
    <x v="0"/>
    <x v="0"/>
    <x v="0"/>
    <x v="0"/>
    <d v="2019-08-06T17:36:00"/>
    <d v="2019-07-16T23:29:00"/>
    <x v="0"/>
    <x v="0"/>
    <x v="0"/>
    <s v="N/A"/>
    <x v="0"/>
    <n v="7"/>
    <n v="2"/>
    <s v="N/A"/>
    <s v="N/A"/>
    <s v="New Ticket"/>
    <d v="2019-07-23T00:00:00"/>
    <x v="0"/>
    <m/>
    <m/>
    <m/>
    <m/>
  </r>
  <r>
    <n v="111275"/>
    <d v="2019-07-30T14:24:00"/>
    <s v="Prod: Can'T Delete Records Under Research Fields"/>
    <s v="Melody Thompson"/>
    <s v="mthompson@yahoo.com"/>
    <x v="2"/>
    <x v="0"/>
    <x v="0"/>
    <x v="0"/>
    <x v="0"/>
    <d v="2019-08-06T17:34:00"/>
    <d v="2019-07-31T19:00:00"/>
    <x v="0"/>
    <x v="0"/>
    <x v="0"/>
    <s v="N/A"/>
    <x v="1"/>
    <n v="12"/>
    <n v="5"/>
    <s v="N/A"/>
    <s v="N/A"/>
    <s v="New Ticket"/>
    <d v="2019-08-06T00:00:00"/>
    <x v="0"/>
    <m/>
    <m/>
    <m/>
    <m/>
  </r>
  <r>
    <n v="111276"/>
    <d v="2019-07-31T09:50:00"/>
    <s v="Adding Flexfield"/>
    <s v="Troy Daniels"/>
    <s v="troy.daniels@outlook.com"/>
    <x v="2"/>
    <x v="0"/>
    <x v="0"/>
    <x v="0"/>
    <x v="0"/>
    <d v="2019-08-06T17:33:00"/>
    <d v="2019-08-01T17:00:00"/>
    <x v="0"/>
    <x v="0"/>
    <x v="0"/>
    <s v="N/A"/>
    <x v="1"/>
    <n v="16"/>
    <n v="3"/>
    <s v="N/A"/>
    <s v="N/A"/>
    <s v="New Ticket"/>
    <d v="2019-08-07T00:00:00"/>
    <x v="2"/>
    <m/>
    <m/>
    <m/>
    <m/>
  </r>
  <r>
    <n v="111190"/>
    <d v="2019-04-30T15:37:00"/>
    <s v="Jde Prod - Create Accounting-Completed Warning"/>
    <s v="Julius Wright"/>
    <s v="jwirght@outlook.com"/>
    <x v="2"/>
    <x v="0"/>
    <x v="0"/>
    <x v="0"/>
    <x v="0"/>
    <d v="2019-08-01T18:59:00"/>
    <d v="2019-05-01T03:37:00"/>
    <x v="0"/>
    <x v="0"/>
    <x v="0"/>
    <s v="N/A"/>
    <x v="1"/>
    <n v="34"/>
    <n v="8"/>
    <s v="N/A"/>
    <s v="N/A"/>
    <s v="New Ticket"/>
    <d v="2019-05-07T00:00:00"/>
    <x v="0"/>
    <m/>
    <m/>
    <m/>
    <m/>
  </r>
  <r>
    <n v="111264"/>
    <d v="2019-07-17T14:13:00"/>
    <s v="Vpn Account"/>
    <s v="Bladimir MacdoN/Ald"/>
    <s v="bmacdoN/Ald@outlook.com"/>
    <x v="2"/>
    <x v="0"/>
    <x v="0"/>
    <x v="0"/>
    <x v="0"/>
    <d v="2019-07-29T17:40:00"/>
    <d v="2019-07-18T02:13:00"/>
    <x v="0"/>
    <x v="0"/>
    <x v="0"/>
    <s v="N/A"/>
    <x v="0"/>
    <n v="8"/>
    <n v="1"/>
    <s v="N/A"/>
    <s v="N/A"/>
    <s v="New Ticket"/>
    <d v="2019-07-24T00:00:00"/>
    <x v="0"/>
    <m/>
    <m/>
    <m/>
    <m/>
  </r>
  <r>
    <n v="111251"/>
    <d v="2019-07-08T10:29:00"/>
    <s v="Error Occurs In Organization"/>
    <s v="Melody Thompson"/>
    <s v="mthompson@yahoo.com"/>
    <x v="2"/>
    <x v="0"/>
    <x v="0"/>
    <x v="0"/>
    <x v="0"/>
    <d v="2019-07-18T17:48:00"/>
    <d v="2019-07-13T16:45:00"/>
    <x v="0"/>
    <x v="0"/>
    <x v="0"/>
    <s v="N/A"/>
    <x v="1"/>
    <n v="16"/>
    <n v="7"/>
    <s v="N/A"/>
    <s v="N/A"/>
    <s v="New Ticket"/>
    <d v="2019-07-15T00:00:00"/>
    <x v="0"/>
    <m/>
    <m/>
    <m/>
    <m/>
  </r>
  <r>
    <n v="111260"/>
    <d v="2019-07-15T15:06:00"/>
    <s v="Sap Dev Instance"/>
    <s v="Bladimir MacdoN/Ald"/>
    <s v="bmacdoN/Ald@outlook.com"/>
    <x v="2"/>
    <x v="0"/>
    <x v="0"/>
    <x v="0"/>
    <x v="0"/>
    <d v="2019-07-17T17:51:00"/>
    <d v="2019-07-16T03:06:00"/>
    <x v="0"/>
    <x v="0"/>
    <x v="0"/>
    <s v="N/A"/>
    <x v="0"/>
    <n v="9"/>
    <n v="1"/>
    <s v="N/A"/>
    <s v="N/A"/>
    <s v="Close Ticket"/>
    <d v="2019-07-22T00:00:00"/>
    <x v="2"/>
    <m/>
    <m/>
    <m/>
    <m/>
  </r>
  <r>
    <n v="111250"/>
    <d v="2019-07-05T14:58:00"/>
    <s v="Appointment For Reps Report Error"/>
    <s v="Paul Jiggins"/>
    <s v="pjiggins@yahoo.com"/>
    <x v="2"/>
    <x v="0"/>
    <x v="1"/>
    <x v="0"/>
    <x v="0"/>
    <d v="2019-07-15T17:26:00"/>
    <d v="2019-07-10T17:00:00"/>
    <x v="0"/>
    <x v="0"/>
    <x v="0"/>
    <s v="N/A"/>
    <x v="1"/>
    <n v="16"/>
    <n v="0"/>
    <s v="N/A"/>
    <s v="N/A"/>
    <s v="New Ticket"/>
    <s v="No SLA for Request"/>
    <x v="1"/>
    <m/>
    <m/>
    <m/>
    <m/>
  </r>
  <r>
    <n v="111255"/>
    <d v="2019-07-09T12:24:00"/>
    <s v="EN/Able Report MaN/Ager For All"/>
    <s v="Jasper John"/>
    <s v="jasper.john@gmail.com"/>
    <x v="2"/>
    <x v="0"/>
    <x v="1"/>
    <x v="0"/>
    <x v="0"/>
    <d v="2019-07-15T15:15:00"/>
    <d v="2019-07-10T00:24:00"/>
    <x v="0"/>
    <x v="0"/>
    <x v="0"/>
    <s v="N/A"/>
    <x v="0"/>
    <n v="7"/>
    <n v="1"/>
    <s v="N/A"/>
    <s v="N/A"/>
    <s v="Close Ticket"/>
    <s v="No SLA for Request"/>
    <x v="1"/>
    <m/>
    <m/>
    <m/>
    <m/>
  </r>
  <r>
    <n v="111256"/>
    <d v="2019-07-10T10:30:00"/>
    <s v="Quick Enroll Error"/>
    <s v="John Brown"/>
    <s v="jbrown@outlook.com"/>
    <x v="2"/>
    <x v="0"/>
    <x v="0"/>
    <x v="0"/>
    <x v="0"/>
    <d v="2019-07-15T14:16:00"/>
    <d v="2019-07-10T22:30:00"/>
    <x v="0"/>
    <x v="0"/>
    <x v="0"/>
    <s v="N/A"/>
    <x v="0"/>
    <n v="8"/>
    <n v="1"/>
    <s v="N/A"/>
    <s v="N/A"/>
    <s v="Close Ticket"/>
    <d v="2019-07-17T00:00:00"/>
    <x v="2"/>
    <m/>
    <m/>
    <m/>
    <m/>
  </r>
  <r>
    <n v="111208"/>
    <d v="2019-05-23T12:41:00"/>
    <s v="Jde Prod Error Page Issue"/>
    <s v="Julius Wright"/>
    <s v="jwirght@outlook.com"/>
    <x v="2"/>
    <x v="0"/>
    <x v="0"/>
    <x v="0"/>
    <x v="0"/>
    <d v="2019-07-10T17:26:00"/>
    <d v="2019-07-05T17:00:00"/>
    <x v="0"/>
    <x v="0"/>
    <x v="0"/>
    <s v="N/A"/>
    <x v="1"/>
    <n v="14"/>
    <n v="1"/>
    <s v="N/A"/>
    <s v="N/A"/>
    <s v="New Ticket"/>
    <d v="2019-05-30T00:00:00"/>
    <x v="0"/>
    <m/>
    <m/>
    <m/>
    <m/>
  </r>
  <r>
    <n v="111197"/>
    <d v="2019-05-08T10:25:00"/>
    <s v="Cannot Print Payslips And Payroll Reports"/>
    <s v="Vic Vincent"/>
    <s v="vic.vincent@yahoo.com"/>
    <x v="2"/>
    <x v="0"/>
    <x v="0"/>
    <x v="1"/>
    <x v="0"/>
    <d v="2019-07-10T17:23:00"/>
    <d v="2019-07-05T17:00:00"/>
    <x v="0"/>
    <x v="0"/>
    <x v="0"/>
    <s v="N/A"/>
    <x v="1"/>
    <n v="8"/>
    <n v="1"/>
    <s v="N/A"/>
    <s v="N/A"/>
    <s v="New Ticket"/>
    <d v="2019-05-15T00:00:00"/>
    <x v="0"/>
    <m/>
    <m/>
    <m/>
    <m/>
  </r>
  <r>
    <n v="111245"/>
    <d v="2019-06-28T15:23:00"/>
    <s v="Jde Prod - Withdraw/ Cancel An Approved Er"/>
    <s v="Julius Wright"/>
    <s v="jwirght@outlook.com"/>
    <x v="2"/>
    <x v="0"/>
    <x v="0"/>
    <x v="0"/>
    <x v="0"/>
    <d v="2019-07-09T11:58:00"/>
    <d v="2019-07-02T17:00:00"/>
    <x v="0"/>
    <x v="0"/>
    <x v="0"/>
    <s v="N/A"/>
    <x v="1"/>
    <n v="17"/>
    <n v="3"/>
    <s v="N/A"/>
    <s v="N/A"/>
    <s v="New Ticket"/>
    <d v="2019-07-05T00:00:00"/>
    <x v="0"/>
    <m/>
    <m/>
    <m/>
    <m/>
  </r>
  <r>
    <n v="111237"/>
    <d v="2019-06-19T16:04:00"/>
    <s v="Saln Report Blank"/>
    <s v="Paul Jiggins"/>
    <s v="pjiggins@yahoo.com"/>
    <x v="2"/>
    <x v="0"/>
    <x v="0"/>
    <x v="0"/>
    <x v="0"/>
    <d v="2019-07-05T17:24:00"/>
    <d v="2019-06-20T04:04:00"/>
    <x v="0"/>
    <x v="0"/>
    <x v="0"/>
    <s v="N/A"/>
    <x v="1"/>
    <n v="13"/>
    <n v="2"/>
    <s v="N/A"/>
    <s v="N/A"/>
    <s v="Close Ticket"/>
    <d v="2019-06-26T00:00:00"/>
    <x v="0"/>
    <m/>
    <m/>
    <m/>
    <m/>
  </r>
  <r>
    <n v="111238"/>
    <d v="2019-06-20T09:06:00"/>
    <s v="Errors Encountered During Test Instance"/>
    <s v="Melody Thompson"/>
    <s v="mthompson@yahoo.com"/>
    <x v="2"/>
    <x v="0"/>
    <x v="0"/>
    <x v="0"/>
    <x v="0"/>
    <d v="2019-07-05T14:49:00"/>
    <d v="2019-06-20T21:06:00"/>
    <x v="0"/>
    <x v="0"/>
    <x v="0"/>
    <s v="N/A"/>
    <x v="1"/>
    <n v="16"/>
    <n v="8"/>
    <s v="N/A"/>
    <s v="N/A"/>
    <s v="New Ticket"/>
    <d v="2019-06-27T00:00:00"/>
    <x v="0"/>
    <m/>
    <m/>
    <m/>
    <m/>
  </r>
  <r>
    <n v="111228"/>
    <d v="2019-06-10T14:29:00"/>
    <s v="Beacon Solution Account"/>
    <s v="Wilson Campus"/>
    <s v="wilson.campus@yahoo.com"/>
    <x v="2"/>
    <x v="0"/>
    <x v="1"/>
    <x v="0"/>
    <x v="0"/>
    <d v="2019-07-04T19:20:00"/>
    <d v="2019-06-11T02:29:00"/>
    <x v="0"/>
    <x v="0"/>
    <x v="0"/>
    <s v="N/A"/>
    <x v="1"/>
    <n v="4"/>
    <n v="0"/>
    <s v="N/A"/>
    <s v="N/A"/>
    <s v="New Ticket"/>
    <s v="No SLA for Request"/>
    <x v="1"/>
    <m/>
    <m/>
    <m/>
    <m/>
  </r>
  <r>
    <n v="111231"/>
    <d v="2019-06-11T13:43:00"/>
    <s v="Jde Error: You Have Encountered An Unexpected…."/>
    <s v="Paul Jiggins"/>
    <s v="pjiggins@yahoo.com"/>
    <x v="2"/>
    <x v="0"/>
    <x v="0"/>
    <x v="0"/>
    <x v="0"/>
    <d v="2019-07-01T17:29:00"/>
    <d v="2019-06-12T01:43:00"/>
    <x v="0"/>
    <x v="0"/>
    <x v="0"/>
    <s v="N/A"/>
    <x v="1"/>
    <n v="12"/>
    <n v="3"/>
    <s v="N/A"/>
    <s v="N/A"/>
    <s v="New Ticket"/>
    <d v="2019-06-18T00:00:00"/>
    <x v="0"/>
    <m/>
    <m/>
    <m/>
    <m/>
  </r>
  <r>
    <n v="111161"/>
    <d v="2019-03-29T14:16:00"/>
    <s v="Login Page UserN/Ame Field Issue"/>
    <s v="Julius Wright"/>
    <s v="jwirght@outlook.com"/>
    <x v="2"/>
    <x v="0"/>
    <x v="0"/>
    <x v="0"/>
    <x v="0"/>
    <d v="2019-07-01T17:27:00"/>
    <d v="2019-03-30T02:16:00"/>
    <x v="0"/>
    <x v="0"/>
    <x v="0"/>
    <s v="N/A"/>
    <x v="1"/>
    <n v="20"/>
    <n v="9"/>
    <s v="N/A"/>
    <s v="N/A"/>
    <s v="Close Ticket"/>
    <d v="2019-04-05T00:00:00"/>
    <x v="0"/>
    <m/>
    <m/>
    <m/>
    <m/>
  </r>
  <r>
    <n v="111230"/>
    <d v="2019-06-11T10:04:00"/>
    <s v="Jde Test Instance Not Accessible"/>
    <s v="Julius Wright"/>
    <s v="jwirght@outlook.com"/>
    <x v="2"/>
    <x v="0"/>
    <x v="0"/>
    <x v="0"/>
    <x v="0"/>
    <d v="2019-06-28T17:13:00"/>
    <d v="2019-06-11T22:04:00"/>
    <x v="0"/>
    <x v="0"/>
    <x v="0"/>
    <s v="N/A"/>
    <x v="1"/>
    <n v="7"/>
    <n v="1"/>
    <s v="N/A"/>
    <s v="N/A"/>
    <s v="New Ticket"/>
    <d v="2019-06-18T00:00:00"/>
    <x v="0"/>
    <m/>
    <m/>
    <m/>
    <m/>
  </r>
  <r>
    <n v="111212"/>
    <d v="2019-05-28T11:16:00"/>
    <s v="Database Access"/>
    <s v="Aurora Miller"/>
    <s v="aurora.miller@outlook.com"/>
    <x v="2"/>
    <x v="0"/>
    <x v="1"/>
    <x v="0"/>
    <x v="0"/>
    <d v="2019-06-21T18:14:00"/>
    <d v="2019-05-28T23:16:00"/>
    <x v="0"/>
    <x v="0"/>
    <x v="2"/>
    <s v="N/A"/>
    <x v="0"/>
    <n v="10"/>
    <n v="0"/>
    <s v="N/A"/>
    <s v="N/A"/>
    <s v="Close Ticket"/>
    <s v="No SLA for Request"/>
    <x v="1"/>
    <m/>
    <m/>
    <m/>
    <m/>
  </r>
  <r>
    <n v="111106"/>
    <d v="2019-02-01T00:54:00"/>
    <s v="Request For Instructions For Post-Cloning Steps Fo"/>
    <s v="Ralph Rogers"/>
    <s v="rrogers@yahoo.com"/>
    <x v="2"/>
    <x v="0"/>
    <x v="1"/>
    <x v="1"/>
    <x v="0"/>
    <d v="2019-06-21T18:11:00"/>
    <d v="2019-02-01T12:54:00"/>
    <x v="0"/>
    <x v="0"/>
    <x v="2"/>
    <s v="N/A"/>
    <x v="0"/>
    <n v="7"/>
    <n v="1"/>
    <s v="N/A"/>
    <s v="N/A"/>
    <s v="Close Ticket"/>
    <s v="No SLA for Request"/>
    <x v="1"/>
    <m/>
    <m/>
    <m/>
    <m/>
  </r>
  <r>
    <n v="111235"/>
    <d v="2019-06-19T12:04:00"/>
    <s v="Request For Vpn Account"/>
    <s v="Julius Wright"/>
    <s v="jwirght@outlook.com"/>
    <x v="2"/>
    <x v="0"/>
    <x v="1"/>
    <x v="0"/>
    <x v="0"/>
    <d v="2019-06-21T13:47:00"/>
    <d v="2019-06-20T00:04:00"/>
    <x v="0"/>
    <x v="0"/>
    <x v="0"/>
    <s v="N/A"/>
    <x v="1"/>
    <n v="7"/>
    <n v="0"/>
    <s v="N/A"/>
    <s v="N/A"/>
    <s v="Close Ticket"/>
    <s v="No SLA for Request"/>
    <x v="1"/>
    <m/>
    <m/>
    <m/>
    <m/>
  </r>
  <r>
    <n v="111232"/>
    <d v="2019-06-11T14:24:00"/>
    <s v="No Student Enrolled In Class."/>
    <s v="Jasper John"/>
    <s v="jasper.john@gmail.com"/>
    <x v="2"/>
    <x v="0"/>
    <x v="1"/>
    <x v="0"/>
    <x v="0"/>
    <d v="2019-06-19T18:18:00"/>
    <d v="2019-06-12T02:24:00"/>
    <x v="0"/>
    <x v="0"/>
    <x v="0"/>
    <s v="N/A"/>
    <x v="0"/>
    <n v="12"/>
    <n v="2"/>
    <s v="N/A"/>
    <s v="N/A"/>
    <s v="New Ticket"/>
    <s v="No SLA for Request"/>
    <x v="1"/>
    <m/>
    <m/>
    <m/>
    <m/>
  </r>
  <r>
    <n v="111226"/>
    <d v="2019-06-06T09:02:00"/>
    <s v="Cannot Delete Duplicate Records Of 3 Employees"/>
    <s v="Paul Jiggins"/>
    <s v="pjiggins@yahoo.com"/>
    <x v="2"/>
    <x v="0"/>
    <x v="0"/>
    <x v="0"/>
    <x v="0"/>
    <d v="2019-06-19T18:13:00"/>
    <d v="2019-06-19T18:00:00"/>
    <x v="0"/>
    <x v="0"/>
    <x v="0"/>
    <s v="N/A"/>
    <x v="1"/>
    <n v="17"/>
    <n v="8"/>
    <s v="N/A"/>
    <s v="N/A"/>
    <s v="New Ticket"/>
    <d v="2019-06-13T00:00:00"/>
    <x v="0"/>
    <m/>
    <m/>
    <m/>
    <m/>
  </r>
  <r>
    <n v="111229"/>
    <d v="2019-06-11T08:38:00"/>
    <s v="Openvpn Locked Account"/>
    <s v="Paul Jiggins"/>
    <s v="pjiggins@yahoo.com"/>
    <x v="2"/>
    <x v="0"/>
    <x v="1"/>
    <x v="0"/>
    <x v="0"/>
    <d v="2019-06-13T17:38:00"/>
    <d v="2019-06-11T20:38:00"/>
    <x v="0"/>
    <x v="0"/>
    <x v="0"/>
    <s v="N/A"/>
    <x v="1"/>
    <n v="11"/>
    <n v="0"/>
    <s v="N/A"/>
    <s v="N/A"/>
    <s v="New Ticket"/>
    <s v="No SLA for Request"/>
    <x v="1"/>
    <m/>
    <m/>
    <m/>
    <m/>
  </r>
  <r>
    <n v="111223"/>
    <d v="2019-06-04T09:53:00"/>
    <s v="Accounts"/>
    <s v="Aurora Miller"/>
    <s v="aurora.miller@outlook.com"/>
    <x v="2"/>
    <x v="0"/>
    <x v="1"/>
    <x v="0"/>
    <x v="0"/>
    <d v="2019-06-10T14:53:00"/>
    <d v="2019-06-04T21:53:00"/>
    <x v="0"/>
    <x v="0"/>
    <x v="0"/>
    <s v="N/A"/>
    <x v="0"/>
    <n v="9"/>
    <n v="0"/>
    <s v="N/A"/>
    <s v="N/A"/>
    <s v="Close Ticket"/>
    <s v="No SLA for Request"/>
    <x v="1"/>
    <m/>
    <m/>
    <m/>
    <m/>
  </r>
  <r>
    <n v="111191"/>
    <d v="2019-05-02T08:40:00"/>
    <s v="Portal Problem"/>
    <s v="Wilson Campus"/>
    <s v="wilson.campus@yahoo.com"/>
    <x v="2"/>
    <x v="0"/>
    <x v="0"/>
    <x v="0"/>
    <x v="0"/>
    <d v="2019-06-07T17:38:00"/>
    <s v="N/A"/>
    <x v="0"/>
    <x v="0"/>
    <x v="0"/>
    <s v="N/A"/>
    <x v="1"/>
    <n v="15"/>
    <n v="2"/>
    <s v="N/A"/>
    <s v="N/A"/>
    <s v="New Ticket"/>
    <d v="2019-05-09T00:00:00"/>
    <x v="0"/>
    <m/>
    <m/>
    <m/>
    <m/>
  </r>
  <r>
    <n v="111200"/>
    <d v="2019-05-14T10:42:00"/>
    <s v="UN/Able To Received Email Notif. On Passchanged"/>
    <s v="John Brown"/>
    <s v="jbrown@outlook.com"/>
    <x v="2"/>
    <x v="0"/>
    <x v="0"/>
    <x v="0"/>
    <x v="0"/>
    <d v="2019-06-03T17:55:00"/>
    <d v="2019-05-14T22:42:00"/>
    <x v="0"/>
    <x v="0"/>
    <x v="0"/>
    <s v="N/A"/>
    <x v="0"/>
    <n v="25"/>
    <n v="3"/>
    <s v="N/A"/>
    <s v="N/A"/>
    <s v="Close Ticket"/>
    <d v="2019-05-21T00:00:00"/>
    <x v="0"/>
    <m/>
    <m/>
    <m/>
    <m/>
  </r>
  <r>
    <n v="111192"/>
    <d v="2019-05-03T11:17:00"/>
    <s v="Jde Prod - Error Page"/>
    <s v="Julius Wright"/>
    <s v="jwirght@outlook.com"/>
    <x v="2"/>
    <x v="0"/>
    <x v="0"/>
    <x v="0"/>
    <x v="0"/>
    <d v="2019-06-03T17:27:00"/>
    <d v="2019-05-03T23:17:00"/>
    <x v="0"/>
    <x v="0"/>
    <x v="0"/>
    <s v="N/A"/>
    <x v="1"/>
    <n v="23"/>
    <n v="4"/>
    <s v="N/A"/>
    <s v="N/A"/>
    <s v="New Ticket"/>
    <d v="2019-05-10T00:00:00"/>
    <x v="0"/>
    <m/>
    <m/>
    <m/>
    <m/>
  </r>
  <r>
    <n v="111213"/>
    <d v="2019-05-28T13:42:00"/>
    <s v="Request For Read-Only Access To Prod Db"/>
    <s v="Will Roberts"/>
    <s v="wroberts@mailiN/Ator.com"/>
    <x v="2"/>
    <x v="0"/>
    <x v="1"/>
    <x v="0"/>
    <x v="0"/>
    <d v="2019-05-31T17:53:00"/>
    <d v="2019-05-29T01:42:00"/>
    <x v="0"/>
    <x v="0"/>
    <x v="2"/>
    <s v="N/A"/>
    <x v="1"/>
    <n v="14"/>
    <n v="1"/>
    <s v="N/A"/>
    <s v="N/A"/>
    <s v="Close Ticket"/>
    <s v="No SLA for Request"/>
    <x v="1"/>
    <m/>
    <m/>
    <m/>
    <m/>
  </r>
  <r>
    <n v="111195"/>
    <d v="2019-05-07T09:00:00"/>
    <s v="Verify Long-Running Sql Code"/>
    <s v="Paul Jiggins"/>
    <s v="pjiggins@yahoo.com"/>
    <x v="2"/>
    <x v="0"/>
    <x v="1"/>
    <x v="0"/>
    <x v="0"/>
    <d v="2019-05-29T15:03:00"/>
    <d v="2019-05-07T21:00:00"/>
    <x v="0"/>
    <x v="0"/>
    <x v="0"/>
    <s v="N/A"/>
    <x v="1"/>
    <n v="17"/>
    <n v="4"/>
    <s v="N/A"/>
    <s v="N/A"/>
    <s v="New Ticket"/>
    <s v="No SLA for Request"/>
    <x v="1"/>
    <m/>
    <m/>
    <m/>
    <m/>
  </r>
  <r>
    <n v="111204"/>
    <d v="2019-05-17T11:07:00"/>
    <s v="Cross-Reg Gwa Computation"/>
    <s v="Jasper John"/>
    <s v="jasper.john@gmail.com"/>
    <x v="2"/>
    <x v="0"/>
    <x v="1"/>
    <x v="0"/>
    <x v="0"/>
    <d v="2019-05-28T13:23:00"/>
    <d v="2019-05-17T23:07:00"/>
    <x v="0"/>
    <x v="0"/>
    <x v="0"/>
    <s v="N/A"/>
    <x v="0"/>
    <n v="15"/>
    <n v="0"/>
    <s v="N/A"/>
    <s v="N/A"/>
    <s v="Close Ticket"/>
    <s v="No SLA for Request"/>
    <x v="1"/>
    <m/>
    <m/>
    <m/>
    <m/>
  </r>
  <r>
    <n v="111165"/>
    <d v="2019-04-02T16:53:00"/>
    <s v="Reverse Payment With Loan Charge"/>
    <s v="Bladimir MacdoN/Ald"/>
    <s v="bmacdoN/Ald@outlook.com"/>
    <x v="2"/>
    <x v="0"/>
    <x v="0"/>
    <x v="0"/>
    <x v="0"/>
    <d v="2019-05-21T18:14:00"/>
    <s v="N/A"/>
    <x v="0"/>
    <x v="0"/>
    <x v="0"/>
    <s v="N/A"/>
    <x v="0"/>
    <n v="23"/>
    <n v="3"/>
    <s v="N/A"/>
    <s v="N/A"/>
    <s v="New Ticket"/>
    <d v="2019-04-09T00:00:00"/>
    <x v="0"/>
    <m/>
    <m/>
    <m/>
    <m/>
  </r>
  <r>
    <n v="111179"/>
    <d v="2019-04-17T13:04:00"/>
    <s v="Authority To Fill Error"/>
    <s v="Paul Jiggins"/>
    <s v="pjiggins@yahoo.com"/>
    <x v="2"/>
    <x v="0"/>
    <x v="0"/>
    <x v="0"/>
    <x v="0"/>
    <d v="2019-05-09T17:18:00"/>
    <d v="2019-04-18T01:04:00"/>
    <x v="0"/>
    <x v="0"/>
    <x v="0"/>
    <s v="N/A"/>
    <x v="1"/>
    <n v="34"/>
    <n v="5"/>
    <s v="N/A"/>
    <s v="N/A"/>
    <s v="New Ticket"/>
    <d v="2019-04-24T00:00:00"/>
    <x v="0"/>
    <m/>
    <m/>
    <m/>
    <m/>
  </r>
  <r>
    <n v="111176"/>
    <d v="2019-04-12T11:57:00"/>
    <s v="Hung Concurrent Request: Open Budget Year"/>
    <s v="Kimberly Jones"/>
    <s v="kjones@outlook.com"/>
    <x v="2"/>
    <x v="0"/>
    <x v="0"/>
    <x v="0"/>
    <x v="0"/>
    <d v="2019-05-09T17:15:00"/>
    <d v="2019-05-06T17:00:00"/>
    <x v="0"/>
    <x v="0"/>
    <x v="0"/>
    <s v="N/A"/>
    <x v="1"/>
    <n v="37"/>
    <n v="1"/>
    <s v="N/A"/>
    <s v="N/A"/>
    <s v="New Ticket"/>
    <d v="2019-04-19T00:00:00"/>
    <x v="0"/>
    <m/>
    <m/>
    <m/>
    <m/>
  </r>
  <r>
    <n v="111175"/>
    <d v="2019-04-11T10:40:00"/>
    <s v="Jde Prod - Dv Approval Issue"/>
    <s v="Julius Wright"/>
    <s v="jwirght@outlook.com"/>
    <x v="2"/>
    <x v="0"/>
    <x v="0"/>
    <x v="0"/>
    <x v="0"/>
    <d v="2019-05-06T18:44:00"/>
    <d v="2019-04-11T22:40:00"/>
    <x v="0"/>
    <x v="0"/>
    <x v="0"/>
    <s v="N/A"/>
    <x v="1"/>
    <n v="8"/>
    <n v="3"/>
    <s v="N/A"/>
    <s v="N/A"/>
    <s v="Close Ticket"/>
    <d v="2019-04-18T00:00:00"/>
    <x v="0"/>
    <m/>
    <m/>
    <m/>
    <m/>
  </r>
  <r>
    <n v="111164"/>
    <d v="2019-04-02T15:52:00"/>
    <s v="Jde Test Instance - Notification Search Criteria"/>
    <s v="Julius Wright"/>
    <s v="jwirght@outlook.com"/>
    <x v="2"/>
    <x v="0"/>
    <x v="0"/>
    <x v="0"/>
    <x v="0"/>
    <d v="2019-05-03T17:16:00"/>
    <d v="2019-04-03T03:52:00"/>
    <x v="0"/>
    <x v="0"/>
    <x v="0"/>
    <s v="N/A"/>
    <x v="1"/>
    <n v="13"/>
    <n v="4"/>
    <s v="N/A"/>
    <s v="N/A"/>
    <s v="Open"/>
    <d v="2019-04-09T00:00:00"/>
    <x v="0"/>
    <m/>
    <m/>
    <m/>
    <m/>
  </r>
  <r>
    <n v="111145"/>
    <d v="2019-03-18T13:11:00"/>
    <s v="Authentication Failed When Running Reports"/>
    <s v="Kezia Richards"/>
    <s v="keziar@gmail.com"/>
    <x v="2"/>
    <x v="0"/>
    <x v="0"/>
    <x v="0"/>
    <x v="0"/>
    <d v="2019-05-02T17:33:00"/>
    <d v="2019-03-19T01:11:00"/>
    <x v="0"/>
    <x v="0"/>
    <x v="0"/>
    <s v="N/A"/>
    <x v="1"/>
    <n v="26"/>
    <n v="3"/>
    <s v="N/A"/>
    <s v="N/A"/>
    <s v="Close Ticket"/>
    <d v="2019-03-25T00:00:00"/>
    <x v="0"/>
    <m/>
    <m/>
    <m/>
    <m/>
  </r>
  <r>
    <n v="111186"/>
    <d v="2019-04-25T16:13:00"/>
    <s v="Testing Email Alerts"/>
    <s v="Pradeep Sharma"/>
    <s v="pradeep.sharma@outlook.com"/>
    <x v="2"/>
    <x v="1"/>
    <x v="0"/>
    <x v="2"/>
    <x v="1"/>
    <d v="2019-04-25T16:13:00"/>
    <d v="2019-04-26T04:13:00"/>
    <x v="1"/>
    <x v="0"/>
    <x v="4"/>
    <s v="N/A"/>
    <x v="5"/>
    <n v="5"/>
    <n v="0"/>
    <s v="N/A"/>
    <s v="N/A"/>
    <s v="New Ticket"/>
    <d v="2019-05-02T00:00:00"/>
    <x v="2"/>
    <m/>
    <m/>
    <m/>
    <m/>
  </r>
  <r>
    <n v="111170"/>
    <d v="2019-04-05T15:16:00"/>
    <s v="Error When Opening Java Applet"/>
    <s v="Paul Jiggins"/>
    <s v="pjiggins@yahoo.com"/>
    <x v="2"/>
    <x v="0"/>
    <x v="0"/>
    <x v="0"/>
    <x v="0"/>
    <d v="2019-04-22T17:34:00"/>
    <d v="2019-04-06T03:16:00"/>
    <x v="0"/>
    <x v="0"/>
    <x v="0"/>
    <s v="N/A"/>
    <x v="1"/>
    <n v="12"/>
    <n v="4"/>
    <s v="N/A"/>
    <s v="N/A"/>
    <s v="Open"/>
    <d v="2019-04-12T00:00:00"/>
    <x v="0"/>
    <m/>
    <m/>
    <m/>
    <m/>
  </r>
  <r>
    <n v="111169"/>
    <d v="2019-04-04T16:22:00"/>
    <s v="Jde Test Instance - Workflow Background Process"/>
    <s v="Julius Wright"/>
    <s v="jwirght@outlook.com"/>
    <x v="2"/>
    <x v="0"/>
    <x v="0"/>
    <x v="0"/>
    <x v="0"/>
    <d v="2019-04-22T17:34:00"/>
    <d v="2019-04-05T04:22:00"/>
    <x v="0"/>
    <x v="0"/>
    <x v="0"/>
    <s v="N/A"/>
    <x v="1"/>
    <n v="14"/>
    <n v="4"/>
    <s v="N/A"/>
    <s v="N/A"/>
    <s v="New Ticket"/>
    <d v="2019-04-11T00:00:00"/>
    <x v="0"/>
    <m/>
    <m/>
    <m/>
    <m/>
  </r>
  <r>
    <n v="111163"/>
    <d v="2019-04-01T13:27:00"/>
    <s v="Error When Creating Organization On Test"/>
    <s v="Kezia Richards"/>
    <s v="keziar@gmail.com"/>
    <x v="2"/>
    <x v="0"/>
    <x v="0"/>
    <x v="0"/>
    <x v="0"/>
    <d v="2019-04-22T17:34:00"/>
    <d v="2019-04-02T01:27:00"/>
    <x v="0"/>
    <x v="0"/>
    <x v="0"/>
    <s v="N/A"/>
    <x v="1"/>
    <n v="16"/>
    <n v="2"/>
    <s v="N/A"/>
    <s v="N/A"/>
    <s v="New Ticket"/>
    <d v="2019-04-08T00:00:00"/>
    <x v="0"/>
    <m/>
    <m/>
    <m/>
    <m/>
  </r>
  <r>
    <n v="111160"/>
    <d v="2019-03-28T15:38:00"/>
    <s v="Automatic Approval Of Salary"/>
    <s v="Wilson Campus"/>
    <s v="wilson.campus@yahoo.com"/>
    <x v="2"/>
    <x v="0"/>
    <x v="1"/>
    <x v="0"/>
    <x v="0"/>
    <d v="2019-04-22T17:34:00"/>
    <d v="2019-03-29T03:38:00"/>
    <x v="0"/>
    <x v="0"/>
    <x v="0"/>
    <s v="N/A"/>
    <x v="1"/>
    <n v="10"/>
    <n v="4"/>
    <s v="N/A"/>
    <s v="N/A"/>
    <s v="Close Ticket"/>
    <s v="No SLA for Request"/>
    <x v="1"/>
    <m/>
    <m/>
    <m/>
    <m/>
  </r>
  <r>
    <n v="111159"/>
    <d v="2019-03-28T11:46:00"/>
    <s v="Missing Project In App Design/Db"/>
    <s v="John Brown"/>
    <s v="jbrown@outlook.com"/>
    <x v="2"/>
    <x v="0"/>
    <x v="0"/>
    <x v="0"/>
    <x v="0"/>
    <d v="2019-04-16T17:55:00"/>
    <d v="2019-03-28T23:46:00"/>
    <x v="0"/>
    <x v="0"/>
    <x v="0"/>
    <s v="N/A"/>
    <x v="0"/>
    <n v="22"/>
    <n v="8"/>
    <s v="N/A"/>
    <s v="N/A"/>
    <s v="New Ticket"/>
    <d v="2019-04-04T00:00:00"/>
    <x v="0"/>
    <m/>
    <m/>
    <m/>
    <m/>
  </r>
  <r>
    <n v="111155"/>
    <d v="2019-03-22T09:18:00"/>
    <s v="Error When Filing Authority To Fill"/>
    <s v="Paul Jiggins"/>
    <s v="pjiggins@yahoo.com"/>
    <x v="2"/>
    <x v="0"/>
    <x v="0"/>
    <x v="0"/>
    <x v="0"/>
    <d v="2019-04-15T18:37:00"/>
    <d v="2019-03-22T21:18:00"/>
    <x v="0"/>
    <x v="0"/>
    <x v="0"/>
    <s v="N/A"/>
    <x v="1"/>
    <n v="19"/>
    <n v="3"/>
    <s v="N/A"/>
    <s v="N/A"/>
    <s v="Close Ticket"/>
    <d v="2019-03-29T00:00:00"/>
    <x v="0"/>
    <m/>
    <m/>
    <m/>
    <m/>
  </r>
  <r>
    <n v="111166"/>
    <d v="2019-04-03T10:12:00"/>
    <s v="Cannot Connect To Prod Database"/>
    <s v="Paul Jiggins"/>
    <s v="pjiggins@yahoo.com"/>
    <x v="2"/>
    <x v="0"/>
    <x v="0"/>
    <x v="0"/>
    <x v="0"/>
    <d v="2019-04-10T18:36:00"/>
    <d v="2019-04-03T22:12:00"/>
    <x v="0"/>
    <x v="0"/>
    <x v="0"/>
    <s v="N/A"/>
    <x v="1"/>
    <n v="11"/>
    <n v="5"/>
    <s v="N/A"/>
    <s v="N/A"/>
    <s v="New Ticket"/>
    <d v="2019-04-10T00:00:00"/>
    <x v="0"/>
    <m/>
    <m/>
    <m/>
    <m/>
  </r>
  <r>
    <n v="111156"/>
    <d v="2019-03-26T15:42:00"/>
    <s v="Dev Not Accessible"/>
    <s v="Aurora Miller"/>
    <s v="aurora.miller@outlook.com"/>
    <x v="2"/>
    <x v="0"/>
    <x v="0"/>
    <x v="0"/>
    <x v="0"/>
    <d v="2019-04-10T18:00:00"/>
    <d v="2019-03-27T03:42:00"/>
    <x v="0"/>
    <x v="0"/>
    <x v="0"/>
    <s v="N/A"/>
    <x v="0"/>
    <n v="26"/>
    <n v="9"/>
    <s v="N/A"/>
    <s v="N/A"/>
    <s v="Close Ticket"/>
    <d v="2019-04-02T00:00:00"/>
    <x v="0"/>
    <m/>
    <m/>
    <m/>
    <m/>
  </r>
  <r>
    <n v="111104"/>
    <d v="2019-02-01T00:25:00"/>
    <s v="Timed Out Transactions In The Worklist Of Approver"/>
    <s v="Julius Wright"/>
    <s v="jwirght@outlook.com"/>
    <x v="2"/>
    <x v="0"/>
    <x v="0"/>
    <x v="1"/>
    <x v="0"/>
    <d v="2019-04-10T17:58:00"/>
    <d v="2019-02-01T12:25:00"/>
    <x v="0"/>
    <x v="0"/>
    <x v="0"/>
    <s v="N/A"/>
    <x v="1"/>
    <n v="6"/>
    <n v="1"/>
    <s v="N/A"/>
    <s v="N/A"/>
    <s v="New Ticket"/>
    <d v="2019-02-08T00:00:00"/>
    <x v="0"/>
    <m/>
    <m/>
    <m/>
    <m/>
  </r>
  <r>
    <n v="111130"/>
    <d v="2019-02-18T10:42:00"/>
    <s v="Vpn"/>
    <s v="Julius Wright"/>
    <s v="jwirght@outlook.com"/>
    <x v="2"/>
    <x v="0"/>
    <x v="1"/>
    <x v="0"/>
    <x v="0"/>
    <d v="2019-04-01T15:40:00"/>
    <d v="2019-02-18T22:42:00"/>
    <x v="0"/>
    <x v="0"/>
    <x v="2"/>
    <s v="N/A"/>
    <x v="1"/>
    <n v="12"/>
    <n v="1"/>
    <s v="N/A"/>
    <s v="N/A"/>
    <s v="New Ticket"/>
    <s v="No SLA for Request"/>
    <x v="1"/>
    <m/>
    <m/>
    <m/>
    <m/>
  </r>
  <r>
    <n v="111112"/>
    <d v="2019-02-01T02:22:00"/>
    <s v="Error Message Upon Clicking The Responsibility"/>
    <s v="Vic Vincent"/>
    <s v="vic.vincent@yahoo.com"/>
    <x v="2"/>
    <x v="0"/>
    <x v="0"/>
    <x v="1"/>
    <x v="0"/>
    <d v="2019-04-01T15:33:00"/>
    <d v="2019-02-01T14:22:00"/>
    <x v="0"/>
    <x v="0"/>
    <x v="2"/>
    <s v="N/A"/>
    <x v="1"/>
    <n v="8"/>
    <n v="2"/>
    <s v="N/A"/>
    <s v="N/A"/>
    <s v="New Ticket"/>
    <d v="2019-02-08T00:00:00"/>
    <x v="0"/>
    <m/>
    <m/>
    <m/>
    <m/>
  </r>
  <r>
    <n v="111111"/>
    <d v="2019-02-01T02:18:00"/>
    <s v="Preparation For 9.2 Upgrade"/>
    <s v="John Brown"/>
    <s v="jbrown@outlook.com"/>
    <x v="2"/>
    <x v="0"/>
    <x v="1"/>
    <x v="1"/>
    <x v="0"/>
    <d v="2019-04-01T15:33:00"/>
    <d v="2019-02-01T14:18:00"/>
    <x v="0"/>
    <x v="0"/>
    <x v="2"/>
    <s v="N/A"/>
    <x v="0"/>
    <n v="26"/>
    <n v="7"/>
    <s v="N/A"/>
    <s v="N/A"/>
    <s v="New Ticket"/>
    <s v="No SLA for Request"/>
    <x v="1"/>
    <m/>
    <m/>
    <m/>
    <m/>
  </r>
  <r>
    <n v="111110"/>
    <d v="2019-02-01T02:10:00"/>
    <s v="Deferred Status Ame Approval Expense Report"/>
    <s v="Will Roberts"/>
    <s v="wroberts@mailiN/Ator.com"/>
    <x v="2"/>
    <x v="0"/>
    <x v="0"/>
    <x v="1"/>
    <x v="0"/>
    <d v="2019-04-01T15:25:00"/>
    <d v="2019-02-01T14:10:00"/>
    <x v="0"/>
    <x v="0"/>
    <x v="2"/>
    <s v="N/A"/>
    <x v="1"/>
    <n v="7"/>
    <n v="1"/>
    <s v="N/A"/>
    <s v="N/A"/>
    <s v="New Ticket"/>
    <d v="2019-02-08T00:00:00"/>
    <x v="0"/>
    <m/>
    <m/>
    <m/>
    <m/>
  </r>
  <r>
    <n v="111109"/>
    <d v="2019-02-01T02:03:00"/>
    <s v="Query Report Scheduler Issue"/>
    <s v="Aurora Miller"/>
    <s v="aurora.miller@outlook.com"/>
    <x v="2"/>
    <x v="0"/>
    <x v="0"/>
    <x v="1"/>
    <x v="0"/>
    <d v="2019-04-01T15:18:00"/>
    <d v="2019-02-01T14:03:00"/>
    <x v="0"/>
    <x v="0"/>
    <x v="2"/>
    <s v="N/A"/>
    <x v="0"/>
    <n v="9"/>
    <n v="2"/>
    <s v="N/A"/>
    <s v="N/A"/>
    <s v="New Ticket"/>
    <d v="2019-02-08T00:00:00"/>
    <x v="0"/>
    <m/>
    <m/>
    <m/>
    <m/>
  </r>
  <r>
    <n v="111107"/>
    <d v="2019-02-01T01:06:00"/>
    <s v="Class Roster."/>
    <s v="Jasper John"/>
    <s v="jasper.john@gmail.com"/>
    <x v="2"/>
    <x v="0"/>
    <x v="0"/>
    <x v="1"/>
    <x v="0"/>
    <d v="2019-04-01T15:10:00"/>
    <s v="N/A"/>
    <x v="0"/>
    <x v="0"/>
    <x v="2"/>
    <s v="N/A"/>
    <x v="0"/>
    <n v="13"/>
    <n v="2"/>
    <s v="N/A"/>
    <s v="N/A"/>
    <s v="New Ticket"/>
    <d v="2019-02-08T00:00:00"/>
    <x v="0"/>
    <m/>
    <m/>
    <m/>
    <m/>
  </r>
  <r>
    <n v="111100"/>
    <d v="2019-01-31T23:16:00"/>
    <s v="Issue With Workflow Administrator Responsibility"/>
    <s v="Will Roberts"/>
    <s v="wroberts@mailiN/Ator.com"/>
    <x v="2"/>
    <x v="0"/>
    <x v="0"/>
    <x v="1"/>
    <x v="0"/>
    <d v="2019-04-01T14:30:00"/>
    <d v="2019-02-01T11:16:00"/>
    <x v="0"/>
    <x v="0"/>
    <x v="2"/>
    <s v="N/A"/>
    <x v="1"/>
    <n v="8"/>
    <n v="1"/>
    <s v="N/A"/>
    <s v="N/A"/>
    <s v="New Ticket"/>
    <d v="2019-02-07T00:00:00"/>
    <x v="0"/>
    <m/>
    <m/>
    <m/>
    <m/>
  </r>
  <r>
    <n v="111141"/>
    <d v="2019-03-05T13:17:00"/>
    <s v="List Of Master Data In Sap"/>
    <s v="Aurora Miller"/>
    <s v="aurora.miller@outlook.com"/>
    <x v="2"/>
    <x v="0"/>
    <x v="1"/>
    <x v="0"/>
    <x v="0"/>
    <d v="2019-04-01T11:53:00"/>
    <d v="2019-03-06T01:17:00"/>
    <x v="0"/>
    <x v="0"/>
    <x v="0"/>
    <s v="N/A"/>
    <x v="0"/>
    <n v="18"/>
    <n v="4"/>
    <s v="N/A"/>
    <s v="N/A"/>
    <s v="Close Ticket"/>
    <s v="No SLA for Request"/>
    <x v="1"/>
    <m/>
    <m/>
    <m/>
    <m/>
  </r>
  <r>
    <n v="111148"/>
    <d v="2019-03-19T14:58:00"/>
    <s v="Dev Instance"/>
    <s v="Aurora Miller"/>
    <s v="aurora.miller@outlook.com"/>
    <x v="2"/>
    <x v="0"/>
    <x v="1"/>
    <x v="0"/>
    <x v="0"/>
    <d v="2019-03-27T17:16:00"/>
    <d v="2019-03-20T02:58:00"/>
    <x v="0"/>
    <x v="0"/>
    <x v="0"/>
    <s v="N/A"/>
    <x v="0"/>
    <n v="6"/>
    <n v="0"/>
    <s v="N/A"/>
    <s v="N/A"/>
    <s v="New Ticket"/>
    <s v="No SLA for Request"/>
    <x v="1"/>
    <m/>
    <m/>
    <m/>
    <m/>
  </r>
  <r>
    <n v="111127"/>
    <d v="2019-02-13T15:59:00"/>
    <s v="View Pmp Reports Of All Users"/>
    <s v="Paul Jiggins"/>
    <s v="pjiggins@yahoo.com"/>
    <x v="2"/>
    <x v="0"/>
    <x v="1"/>
    <x v="3"/>
    <x v="0"/>
    <d v="2019-03-25T18:15:00"/>
    <d v="2021-08-14T03:59:00"/>
    <x v="0"/>
    <x v="0"/>
    <x v="0"/>
    <s v="N/A"/>
    <x v="1"/>
    <n v="15"/>
    <n v="4"/>
    <s v="N/A"/>
    <s v="N/A"/>
    <s v="New Ticket"/>
    <s v="No SLA for Request"/>
    <x v="1"/>
    <m/>
    <m/>
    <m/>
    <m/>
  </r>
  <r>
    <n v="111142"/>
    <d v="2019-03-11T15:42:00"/>
    <s v="Excel-To-Ci Incomplete Fields"/>
    <s v="John Brown"/>
    <s v="jbrown@outlook.com"/>
    <x v="2"/>
    <x v="0"/>
    <x v="0"/>
    <x v="0"/>
    <x v="0"/>
    <d v="2019-03-22T18:41:00"/>
    <d v="2019-03-12T03:42:00"/>
    <x v="0"/>
    <x v="0"/>
    <x v="0"/>
    <s v="N/A"/>
    <x v="0"/>
    <n v="10"/>
    <n v="2"/>
    <s v="N/A"/>
    <s v="N/A"/>
    <s v="New Ticket"/>
    <d v="2019-03-18T00:00:00"/>
    <x v="0"/>
    <m/>
    <m/>
    <m/>
    <m/>
  </r>
  <r>
    <n v="111139"/>
    <d v="2019-03-04T09:05:00"/>
    <s v="Error Page Upon Log In To Jde Prod"/>
    <s v="Julius Wright"/>
    <s v="jwirght@outlook.com"/>
    <x v="2"/>
    <x v="0"/>
    <x v="0"/>
    <x v="0"/>
    <x v="0"/>
    <d v="2019-03-20T17:16:00"/>
    <d v="2019-03-04T21:05:00"/>
    <x v="0"/>
    <x v="0"/>
    <x v="0"/>
    <s v="N/A"/>
    <x v="1"/>
    <n v="12"/>
    <n v="1"/>
    <s v="N/A"/>
    <s v="N/A"/>
    <s v="New Ticket"/>
    <d v="2019-03-11T00:00:00"/>
    <x v="0"/>
    <m/>
    <m/>
    <m/>
    <m/>
  </r>
  <r>
    <n v="111101"/>
    <d v="2019-01-31T23:38:00"/>
    <s v="Error In Accessing Authority To Hire"/>
    <s v="Vic Vincent"/>
    <s v="vic.vincent@yahoo.com"/>
    <x v="2"/>
    <x v="0"/>
    <x v="0"/>
    <x v="1"/>
    <x v="0"/>
    <d v="2019-03-20T17:13:00"/>
    <d v="2019-02-01T11:38:00"/>
    <x v="0"/>
    <x v="0"/>
    <x v="0"/>
    <s v="N/A"/>
    <x v="1"/>
    <n v="8"/>
    <n v="1"/>
    <s v="N/A"/>
    <s v="N/A"/>
    <s v="New Ticket"/>
    <d v="2019-02-07T00:00:00"/>
    <x v="0"/>
    <m/>
    <m/>
    <m/>
    <m/>
  </r>
  <r>
    <n v="111125"/>
    <d v="2019-02-08T11:08:00"/>
    <s v="Development Instance (. 83 )"/>
    <s v="Aurora Miller"/>
    <s v="aurora.miller@outlook.com"/>
    <x v="2"/>
    <x v="0"/>
    <x v="1"/>
    <x v="0"/>
    <x v="0"/>
    <d v="2019-03-19T17:20:00"/>
    <d v="2019-02-08T23:08:00"/>
    <x v="0"/>
    <x v="0"/>
    <x v="0"/>
    <s v="N/A"/>
    <x v="0"/>
    <n v="8"/>
    <n v="0"/>
    <s v="N/A"/>
    <s v="N/A"/>
    <s v="New Ticket"/>
    <s v="No SLA for Request"/>
    <x v="1"/>
    <m/>
    <m/>
    <m/>
    <m/>
  </r>
  <r>
    <n v="111144"/>
    <d v="2019-03-14T15:42:00"/>
    <s v="Attach/Link An Approver Group To A Rule"/>
    <s v="Paul Jiggins"/>
    <s v="pjiggins@yahoo.com"/>
    <x v="2"/>
    <x v="0"/>
    <x v="1"/>
    <x v="0"/>
    <x v="0"/>
    <d v="2019-03-19T17:18:00"/>
    <d v="2019-03-15T03:42:00"/>
    <x v="0"/>
    <x v="0"/>
    <x v="0"/>
    <s v="N/A"/>
    <x v="1"/>
    <n v="7"/>
    <n v="1"/>
    <s v="N/A"/>
    <s v="N/A"/>
    <s v="New Ticket"/>
    <s v="No SLA for Request"/>
    <x v="1"/>
    <m/>
    <m/>
    <m/>
    <m/>
  </r>
  <r>
    <n v="111135"/>
    <d v="2019-02-20T08:39:00"/>
    <s v="Missing Contents In Table"/>
    <s v="Paul Jiggins"/>
    <s v="pjiggins@yahoo.com"/>
    <x v="2"/>
    <x v="0"/>
    <x v="0"/>
    <x v="0"/>
    <x v="0"/>
    <d v="2019-03-18T18:14:00"/>
    <d v="2019-02-20T20:39:00"/>
    <x v="0"/>
    <x v="0"/>
    <x v="0"/>
    <s v="N/A"/>
    <x v="1"/>
    <n v="18"/>
    <n v="4"/>
    <s v="N/A"/>
    <s v="N/A"/>
    <s v="New Ticket"/>
    <d v="2019-02-27T00:00:00"/>
    <x v="0"/>
    <m/>
    <m/>
    <m/>
    <m/>
  </r>
  <r>
    <n v="111134"/>
    <d v="2019-02-20T08:10:00"/>
    <s v="Batch Element Entry Error"/>
    <s v="Wilson Campus"/>
    <s v="wilson.campus@yahoo.com"/>
    <x v="2"/>
    <x v="0"/>
    <x v="0"/>
    <x v="0"/>
    <x v="0"/>
    <d v="2019-03-13T15:59:00"/>
    <d v="2019-02-20T20:10:00"/>
    <x v="0"/>
    <x v="0"/>
    <x v="0"/>
    <s v="N/A"/>
    <x v="1"/>
    <n v="7"/>
    <n v="1"/>
    <s v="N/A"/>
    <s v="N/A"/>
    <s v="New Ticket"/>
    <d v="2019-02-27T00:00:00"/>
    <x v="0"/>
    <m/>
    <m/>
    <m/>
    <m/>
  </r>
  <r>
    <n v="111140"/>
    <d v="2019-03-04T10:00:00"/>
    <s v="Request And Disable Account"/>
    <s v="Aurora Miller"/>
    <s v="aurora.miller@outlook.com"/>
    <x v="2"/>
    <x v="0"/>
    <x v="1"/>
    <x v="0"/>
    <x v="0"/>
    <d v="2019-03-08T17:44:00"/>
    <d v="2019-03-04T22:00:00"/>
    <x v="0"/>
    <x v="0"/>
    <x v="0"/>
    <s v="N/A"/>
    <x v="0"/>
    <n v="9"/>
    <n v="0"/>
    <s v="N/A"/>
    <s v="N/A"/>
    <s v="New Ticket"/>
    <s v="No SLA for Request"/>
    <x v="1"/>
    <m/>
    <m/>
    <m/>
    <m/>
  </r>
  <r>
    <n v="111132"/>
    <d v="2019-02-19T11:21:00"/>
    <s v="Authority To Hire Page Disabled"/>
    <s v="Paul Jiggins"/>
    <s v="pjiggins@yahoo.com"/>
    <x v="2"/>
    <x v="0"/>
    <x v="0"/>
    <x v="0"/>
    <x v="0"/>
    <d v="2019-03-05T18:08:00"/>
    <d v="2019-02-19T23:21:00"/>
    <x v="0"/>
    <x v="0"/>
    <x v="0"/>
    <s v="N/A"/>
    <x v="1"/>
    <n v="24"/>
    <n v="7"/>
    <s v="N/A"/>
    <s v="N/A"/>
    <s v="New Ticket"/>
    <d v="2019-02-26T00:00:00"/>
    <x v="0"/>
    <m/>
    <m/>
    <m/>
    <m/>
  </r>
  <r>
    <n v="111102"/>
    <d v="2019-01-31T23:51:00"/>
    <s v="Jde Display Error Upon Clicking Hr ProfessioN/Al"/>
    <s v="Vic Vincent"/>
    <s v="vic.vincent@yahoo.com"/>
    <x v="2"/>
    <x v="0"/>
    <x v="0"/>
    <x v="1"/>
    <x v="0"/>
    <d v="2019-03-05T17:56:00"/>
    <d v="2019-02-01T11:51:00"/>
    <x v="0"/>
    <x v="0"/>
    <x v="0"/>
    <s v="N/A"/>
    <x v="1"/>
    <n v="6"/>
    <n v="2"/>
    <s v="N/A"/>
    <s v="N/A"/>
    <s v="New Ticket"/>
    <d v="2019-02-07T00:00:00"/>
    <x v="0"/>
    <m/>
    <m/>
    <m/>
    <m/>
  </r>
  <r>
    <n v="111137"/>
    <d v="2019-02-26T11:38:00"/>
    <s v="Excel-To-Ci"/>
    <s v="Jasper John"/>
    <s v="jasper.john@gmail.com"/>
    <x v="2"/>
    <x v="0"/>
    <x v="1"/>
    <x v="0"/>
    <x v="0"/>
    <d v="2019-03-02T09:36:00"/>
    <d v="2019-02-26T23:38:00"/>
    <x v="0"/>
    <x v="0"/>
    <x v="0"/>
    <s v="N/A"/>
    <x v="0"/>
    <n v="11"/>
    <n v="11"/>
    <s v="N/A"/>
    <s v="N/A"/>
    <s v="New Ticket"/>
    <s v="No SLA for Request"/>
    <x v="1"/>
    <m/>
    <m/>
    <m/>
    <m/>
  </r>
  <r>
    <n v="111105"/>
    <d v="2019-02-01T00:44:00"/>
    <s v="Generating Ched_Ft_2018 Report"/>
    <s v="Jasper John"/>
    <s v="jasper.john@gmail.com"/>
    <x v="2"/>
    <x v="0"/>
    <x v="0"/>
    <x v="1"/>
    <x v="0"/>
    <d v="2019-02-20T15:13:00"/>
    <d v="2019-02-01T12:44:00"/>
    <x v="0"/>
    <x v="0"/>
    <x v="4"/>
    <s v="N/A"/>
    <x v="0"/>
    <n v="9"/>
    <n v="1"/>
    <s v="N/A"/>
    <s v="N/A"/>
    <s v="New Ticket"/>
    <d v="2019-02-08T00:00:00"/>
    <x v="0"/>
    <m/>
    <m/>
    <m/>
    <m/>
  </r>
  <r>
    <n v="111126"/>
    <d v="2019-02-12T16:46:00"/>
    <s v="Student Is Not Appearing On The Classroster"/>
    <s v="Aurora Miller"/>
    <s v="aurora.miller@outlook.com"/>
    <x v="2"/>
    <x v="0"/>
    <x v="0"/>
    <x v="0"/>
    <x v="0"/>
    <d v="2019-02-20T14:32:00"/>
    <d v="2019-02-13T04:46:00"/>
    <x v="0"/>
    <x v="0"/>
    <x v="4"/>
    <s v="N/A"/>
    <x v="0"/>
    <n v="5"/>
    <n v="1"/>
    <s v="N/A"/>
    <s v="N/A"/>
    <s v="New Ticket"/>
    <d v="2019-02-19T00:00:00"/>
    <x v="0"/>
    <m/>
    <m/>
    <m/>
    <m/>
  </r>
  <r>
    <n v="111103"/>
    <d v="2019-02-01T00:00:00"/>
    <s v="Issue On Report Paths"/>
    <s v="Kezia Richards"/>
    <s v="keziar@gmail.com"/>
    <x v="2"/>
    <x v="0"/>
    <x v="0"/>
    <x v="1"/>
    <x v="0"/>
    <d v="2019-02-02T19:32:00"/>
    <d v="2019-02-01T12:00:00"/>
    <x v="0"/>
    <x v="0"/>
    <x v="4"/>
    <s v="N/A"/>
    <x v="1"/>
    <n v="8"/>
    <n v="1"/>
    <s v="N/A"/>
    <s v="N/A"/>
    <s v="Close Ticket"/>
    <d v="2019-02-08T00:00:00"/>
    <x v="2"/>
    <m/>
    <m/>
    <m/>
    <m/>
  </r>
  <r>
    <n v="111395"/>
    <d v="2020-03-02T16:06:00"/>
    <s v="Separate Remittance Advices Setup"/>
    <s v="Erick White"/>
    <s v="ewhite@yahoo.com"/>
    <x v="3"/>
    <x v="0"/>
    <x v="1"/>
    <x v="0"/>
    <x v="2"/>
    <d v="2021-03-31T11:19:00"/>
    <d v="2022-09-01T04:06:00"/>
    <x v="0"/>
    <x v="1"/>
    <x v="4"/>
    <s v="N/A"/>
    <x v="1"/>
    <n v="112"/>
    <n v="21"/>
    <s v="NON-PROD"/>
    <s v="TEST"/>
    <s v="New Ticket"/>
    <s v="No SLA for Request"/>
    <x v="1"/>
    <m/>
    <m/>
    <m/>
    <m/>
  </r>
  <r>
    <n v="111119"/>
    <d v="2019-02-04T10:56:00"/>
    <s v="Error Adding New Tables On Audit Trail"/>
    <s v="Kimberly Jones"/>
    <s v="kjones@outlook.com"/>
    <x v="3"/>
    <x v="0"/>
    <x v="0"/>
    <x v="0"/>
    <x v="2"/>
    <d v="2021-03-29T14:08:00"/>
    <d v="2021-08-04T22:56:00"/>
    <x v="0"/>
    <x v="1"/>
    <x v="4"/>
    <s v="N/A"/>
    <x v="1"/>
    <n v="76"/>
    <n v="14"/>
    <s v="NON-PROD"/>
    <s v="PRODUCTION"/>
    <s v="New Ticket"/>
    <d v="2019-02-18T00:00:00"/>
    <x v="0"/>
    <m/>
    <m/>
    <m/>
    <m/>
  </r>
  <r>
    <n v="111543"/>
    <d v="2020-10-27T08:23:00"/>
    <s v="Set Timeout In Oracle Workflow"/>
    <s v="Kian Rogers"/>
    <s v="krogers@mailiN/Ator.com"/>
    <x v="3"/>
    <x v="0"/>
    <x v="1"/>
    <x v="0"/>
    <x v="2"/>
    <d v="2021-03-24T13:25:00"/>
    <d v="2023-04-27T20:23:00"/>
    <x v="0"/>
    <x v="1"/>
    <x v="4"/>
    <s v="N/A"/>
    <x v="1"/>
    <n v="16"/>
    <n v="1"/>
    <s v="NON-PROD"/>
    <s v="TEST"/>
    <s v="Open"/>
    <s v="No SLA for Request"/>
    <x v="1"/>
    <m/>
    <m/>
    <m/>
    <m/>
  </r>
  <r>
    <n v="111531"/>
    <d v="2020-10-09T11:57:00"/>
    <s v="Vacation Leave Rule"/>
    <s v="Kian Rogers"/>
    <s v="krogers@mailiN/Ator.com"/>
    <x v="3"/>
    <x v="0"/>
    <x v="1"/>
    <x v="0"/>
    <x v="2"/>
    <d v="2021-03-18T14:04:00"/>
    <d v="2023-04-09T23:57:00"/>
    <x v="0"/>
    <x v="1"/>
    <x v="4"/>
    <s v="N/A"/>
    <x v="1"/>
    <n v="21"/>
    <n v="2"/>
    <s v="NON-PROD"/>
    <s v="TEST"/>
    <s v="Open"/>
    <s v="No SLA for Request"/>
    <x v="1"/>
    <m/>
    <m/>
    <m/>
    <m/>
  </r>
  <r>
    <n v="111481"/>
    <d v="2020-08-11T09:53:00"/>
    <s v="Exclude Public Holidays From Absence Duration"/>
    <s v="Kian Rogers"/>
    <s v="krogers@mailiN/Ator.com"/>
    <x v="3"/>
    <x v="0"/>
    <x v="1"/>
    <x v="0"/>
    <x v="0"/>
    <d v="2021-03-05T16:53:00"/>
    <d v="2020-08-12T09:53:00"/>
    <x v="0"/>
    <x v="0"/>
    <x v="0"/>
    <s v="N/A"/>
    <x v="1"/>
    <n v="22"/>
    <n v="5"/>
    <s v="NON-PROD"/>
    <s v="TEST"/>
    <s v="Close Ticket"/>
    <s v="No SLA for Request"/>
    <x v="1"/>
    <m/>
    <m/>
    <m/>
    <m/>
  </r>
  <r>
    <n v="111515"/>
    <d v="2020-09-30T22:44:00"/>
    <s v="Submission Of Leave"/>
    <s v="Kian Rogers"/>
    <s v="krogers@mailiN/Ator.com"/>
    <x v="3"/>
    <x v="0"/>
    <x v="1"/>
    <x v="0"/>
    <x v="0"/>
    <d v="2021-02-19T16:50:00"/>
    <d v="2020-10-01T22:44:00"/>
    <x v="0"/>
    <x v="0"/>
    <x v="0"/>
    <s v="N/A"/>
    <x v="1"/>
    <n v="23"/>
    <n v="2"/>
    <s v="NON-PROD"/>
    <s v="TEST"/>
    <s v="Close Ticket"/>
    <s v="No SLA for Request"/>
    <x v="1"/>
    <m/>
    <m/>
    <m/>
    <m/>
  </r>
  <r>
    <n v="111400"/>
    <d v="2020-03-11T18:17:00"/>
    <s v="Assistance For Iprocurement Page PersoN/Alization"/>
    <s v="Riza Richardson"/>
    <s v="rrichardson@mailiN/Ator.com"/>
    <x v="3"/>
    <x v="0"/>
    <x v="1"/>
    <x v="0"/>
    <x v="0"/>
    <d v="2021-02-16T14:18:00"/>
    <d v="2020-03-12T18:17:00"/>
    <x v="0"/>
    <x v="0"/>
    <x v="0"/>
    <s v="N/A"/>
    <x v="1"/>
    <n v="57"/>
    <n v="8"/>
    <s v="NON-PROD"/>
    <s v="PRODUCTION"/>
    <s v="Close Ticket"/>
    <s v="No SLA for Request"/>
    <x v="1"/>
    <m/>
    <m/>
    <m/>
    <m/>
  </r>
  <r>
    <n v="111578"/>
    <d v="2020-12-10T10:42:00"/>
    <s v="Clear Cache Browser Concern"/>
    <s v="Aurora Miller"/>
    <s v="aurora.miller@outlook.com"/>
    <x v="3"/>
    <x v="0"/>
    <x v="1"/>
    <x v="0"/>
    <x v="0"/>
    <d v="2021-02-10T17:28:00"/>
    <d v="2020-12-11T10:42:00"/>
    <x v="0"/>
    <x v="0"/>
    <x v="0"/>
    <s v="N/A"/>
    <x v="0"/>
    <n v="12"/>
    <n v="1"/>
    <s v="PROD"/>
    <s v="PRODUCTION"/>
    <s v="Close Ticket"/>
    <s v="No SLA for Request"/>
    <x v="1"/>
    <m/>
    <m/>
    <m/>
    <m/>
  </r>
  <r>
    <n v="111591"/>
    <d v="2021-01-12T16:26:00"/>
    <s v="Instance Connection Details"/>
    <s v="Troy Daniels"/>
    <s v="troy.daniels@outlook.com"/>
    <x v="3"/>
    <x v="0"/>
    <x v="1"/>
    <x v="0"/>
    <x v="0"/>
    <d v="2021-01-29T17:21:00"/>
    <d v="2021-01-13T16:26:00"/>
    <x v="0"/>
    <x v="0"/>
    <x v="0"/>
    <s v="N/A"/>
    <x v="1"/>
    <n v="11"/>
    <n v="2"/>
    <s v="NON-PROD"/>
    <s v="TEST"/>
    <s v="Close Ticket"/>
    <s v="No SLA for Request"/>
    <x v="1"/>
    <m/>
    <m/>
    <m/>
    <m/>
  </r>
  <r>
    <n v="111508"/>
    <d v="2020-09-28T10:43:00"/>
    <s v="Vacation Leave Issue"/>
    <s v="Kian Rogers"/>
    <s v="krogers@mailiN/Ator.com"/>
    <x v="3"/>
    <x v="0"/>
    <x v="1"/>
    <x v="0"/>
    <x v="2"/>
    <d v="2021-01-25T12:06:00"/>
    <d v="2023-03-29T22:43:00"/>
    <x v="0"/>
    <x v="1"/>
    <x v="4"/>
    <s v="N/A"/>
    <x v="1"/>
    <n v="15"/>
    <n v="2"/>
    <s v="NON-PROD"/>
    <s v="TEST"/>
    <s v="Open"/>
    <s v="No SLA for Request"/>
    <x v="1"/>
    <m/>
    <m/>
    <m/>
    <m/>
  </r>
  <r>
    <n v="111589"/>
    <d v="2021-01-06T15:26:00"/>
    <s v="View Leave Balance Error Page"/>
    <s v="Kian Rogers"/>
    <s v="krogers@mailiN/Ator.com"/>
    <x v="3"/>
    <x v="0"/>
    <x v="0"/>
    <x v="0"/>
    <x v="0"/>
    <d v="2021-01-18T18:05:00"/>
    <d v="2021-01-07T03:26:00"/>
    <x v="0"/>
    <x v="0"/>
    <x v="0"/>
    <s v="N/A"/>
    <x v="1"/>
    <n v="6"/>
    <n v="2"/>
    <s v="NON-PROD"/>
    <s v="TEST"/>
    <s v="Close Ticket"/>
    <d v="2021-01-20T00:00:00"/>
    <x v="2"/>
    <m/>
    <m/>
    <m/>
    <m/>
  </r>
  <r>
    <n v="111445"/>
    <d v="2020-06-16T09:27:00"/>
    <s v="Procedure Or Document About Refreshing Db"/>
    <s v="Aurora Miller"/>
    <s v="aurora.miller@outlook.com"/>
    <x v="3"/>
    <x v="0"/>
    <x v="1"/>
    <x v="0"/>
    <x v="2"/>
    <d v="2020-12-11T20:13:00"/>
    <d v="2022-12-15T21:27:00"/>
    <x v="0"/>
    <x v="1"/>
    <x v="4"/>
    <s v="N/A"/>
    <x v="0"/>
    <n v="4"/>
    <n v="0"/>
    <s v="NON-PROD"/>
    <s v="DEVELOPMENT"/>
    <s v="New Ticket"/>
    <s v="No SLA for Request"/>
    <x v="1"/>
    <m/>
    <m/>
    <m/>
    <m/>
  </r>
  <r>
    <n v="111579"/>
    <d v="2020-12-11T15:46:00"/>
    <s v="Spms Report"/>
    <s v="Jane Wilberts"/>
    <s v="jwilberts@mailiN/Ator.com"/>
    <x v="3"/>
    <x v="0"/>
    <x v="1"/>
    <x v="0"/>
    <x v="2"/>
    <d v="2020-12-11T15:46:00"/>
    <d v="2023-06-12T03:46:00"/>
    <x v="0"/>
    <x v="0"/>
    <x v="4"/>
    <s v="N/A"/>
    <x v="1"/>
    <n v="4"/>
    <n v="0"/>
    <s v="NON-PROD"/>
    <s v="TEST"/>
    <s v="New Ticket"/>
    <s v="No SLA for Request"/>
    <x v="1"/>
    <m/>
    <m/>
    <m/>
    <m/>
  </r>
  <r>
    <n v="111540"/>
    <d v="2020-10-22T15:55:00"/>
    <s v="Training Process N/Ame"/>
    <s v="Troy Daniels"/>
    <s v="troy.daniels@outlook.com"/>
    <x v="3"/>
    <x v="0"/>
    <x v="1"/>
    <x v="0"/>
    <x v="2"/>
    <d v="2020-11-20T16:25:00"/>
    <d v="2023-04-23T03:55:00"/>
    <x v="0"/>
    <x v="1"/>
    <x v="4"/>
    <s v="N/A"/>
    <x v="1"/>
    <n v="5"/>
    <n v="0"/>
    <s v="NON-PROD"/>
    <s v="TEST"/>
    <s v="New Ticket"/>
    <s v="No SLA for Request"/>
    <x v="1"/>
    <m/>
    <m/>
    <m/>
    <m/>
  </r>
  <r>
    <n v="111537"/>
    <d v="2020-10-19T18:30:00"/>
    <s v="Application Of Leave Error"/>
    <s v="Kian Rogers"/>
    <s v="krogers@mailiN/Ator.com"/>
    <x v="3"/>
    <x v="0"/>
    <x v="0"/>
    <x v="0"/>
    <x v="2"/>
    <d v="2020-10-19T18:30:00"/>
    <d v="2023-04-20T06:30:00"/>
    <x v="0"/>
    <x v="0"/>
    <x v="4"/>
    <s v="N/A"/>
    <x v="1"/>
    <n v="4"/>
    <n v="1"/>
    <s v="NON-PROD"/>
    <s v="TEST"/>
    <s v="Open"/>
    <d v="2020-11-02T00:00:00"/>
    <x v="2"/>
    <m/>
    <m/>
    <m/>
    <m/>
  </r>
  <r>
    <n v="111532"/>
    <d v="2020-10-09T15:19:00"/>
    <s v="9.2 Dev Db Backup, Then Restore To 9.2 Test"/>
    <s v="Aurora Miller"/>
    <s v="aurora.miller@outlook.com"/>
    <x v="3"/>
    <x v="0"/>
    <x v="1"/>
    <x v="0"/>
    <x v="2"/>
    <d v="2020-10-09T15:20:00"/>
    <d v="2023-04-10T03:19:00"/>
    <x v="0"/>
    <x v="0"/>
    <x v="4"/>
    <s v="N/A"/>
    <x v="0"/>
    <n v="2"/>
    <n v="0"/>
    <s v="NON-PROD"/>
    <s v="DEVELOPMENT"/>
    <s v="New Ticket"/>
    <s v="No SLA for Request"/>
    <x v="1"/>
    <m/>
    <m/>
    <m/>
    <m/>
  </r>
  <r>
    <n v="111477"/>
    <d v="2020-07-27T14:44:00"/>
    <s v="Apply Patch"/>
    <s v="Aurora Miller"/>
    <s v="aurora.miller@outlook.com"/>
    <x v="3"/>
    <x v="0"/>
    <x v="1"/>
    <x v="0"/>
    <x v="0"/>
    <d v="2020-09-01T17:52:00"/>
    <d v="2020-07-28T02:44:00"/>
    <x v="0"/>
    <x v="0"/>
    <x v="0"/>
    <s v="N/A"/>
    <x v="0"/>
    <n v="5"/>
    <n v="0"/>
    <s v="NON-PROD"/>
    <s v="DEVELOPMENT"/>
    <s v="Close Ticket"/>
    <s v="No SLA for Request"/>
    <x v="1"/>
    <m/>
    <m/>
    <m/>
    <m/>
  </r>
  <r>
    <n v="111472"/>
    <d v="2020-07-17T10:47:00"/>
    <s v="Error Upon Saving Template"/>
    <s v="Marvin Peters"/>
    <s v="mpeters@outlook.com"/>
    <x v="3"/>
    <x v="0"/>
    <x v="0"/>
    <x v="0"/>
    <x v="0"/>
    <d v="2020-07-28T18:12:00"/>
    <d v="2020-07-17T22:47:00"/>
    <x v="0"/>
    <x v="0"/>
    <x v="0"/>
    <s v="N/A"/>
    <x v="0"/>
    <n v="18"/>
    <n v="1"/>
    <s v="NON-PROD"/>
    <s v="DEVELOPMENT"/>
    <s v="Close Ticket"/>
    <d v="2020-07-31T00:00:00"/>
    <x v="2"/>
    <m/>
    <m/>
    <m/>
    <m/>
  </r>
  <r>
    <n v="111465"/>
    <d v="2020-07-09T12:28:00"/>
    <s v="Test"/>
    <s v="Jovan Brown"/>
    <s v="jovan_brown@mailiN/Ator.com"/>
    <x v="3"/>
    <x v="1"/>
    <x v="0"/>
    <x v="0"/>
    <x v="2"/>
    <d v="2020-07-09T12:28:00"/>
    <d v="2020-07-10T00:28:00"/>
    <x v="1"/>
    <x v="1"/>
    <x v="3"/>
    <s v="N/A"/>
    <x v="4"/>
    <n v="1"/>
    <n v="0"/>
    <s v="NON-PROD"/>
    <s v="TEST"/>
    <s v="New Ticket"/>
    <d v="2020-07-23T00:00:00"/>
    <x v="2"/>
    <m/>
    <m/>
    <m/>
    <m/>
  </r>
  <r>
    <n v="111433"/>
    <d v="2020-06-03T14:35:00"/>
    <s v="Request Eci For The Student Advisor Page"/>
    <s v="Aurora Miller"/>
    <s v="aurora.miller@outlook.com"/>
    <x v="3"/>
    <x v="0"/>
    <x v="1"/>
    <x v="0"/>
    <x v="0"/>
    <d v="2020-06-26T17:58:00"/>
    <s v="N/A"/>
    <x v="0"/>
    <x v="0"/>
    <x v="0"/>
    <s v="N/A"/>
    <x v="0"/>
    <n v="18"/>
    <n v="3"/>
    <s v="NON-PROD"/>
    <s v="DEVELOPMENT"/>
    <s v="New Ticket"/>
    <s v="No SLA for Request"/>
    <x v="1"/>
    <m/>
    <m/>
    <m/>
    <m/>
  </r>
  <r>
    <n v="111427"/>
    <d v="2020-05-29T12:30:00"/>
    <s v="IN/Active Session In Web Server"/>
    <s v="John Brown"/>
    <s v="jbrown@outlook.com"/>
    <x v="3"/>
    <x v="0"/>
    <x v="1"/>
    <x v="0"/>
    <x v="0"/>
    <d v="2020-06-19T17:31:00"/>
    <s v="N/A"/>
    <x v="0"/>
    <x v="0"/>
    <x v="0"/>
    <s v="N/A"/>
    <x v="0"/>
    <n v="4"/>
    <n v="0"/>
    <s v="NON-PROD"/>
    <s v="DEVELOPMENT"/>
    <s v="New Ticket"/>
    <s v="No SLA for Request"/>
    <x v="1"/>
    <m/>
    <m/>
    <m/>
    <m/>
  </r>
  <r>
    <n v="111405"/>
    <d v="2020-04-03T09:29:00"/>
    <s v="Dv Approval"/>
    <s v="Kenex Willows"/>
    <s v="kwillows@yahoo.com"/>
    <x v="3"/>
    <x v="0"/>
    <x v="0"/>
    <x v="0"/>
    <x v="0"/>
    <d v="2020-06-16T17:51:00"/>
    <s v="N/A"/>
    <x v="0"/>
    <x v="0"/>
    <x v="0"/>
    <s v="N/A"/>
    <x v="1"/>
    <n v="11"/>
    <n v="4"/>
    <s v="PROD"/>
    <s v="PRODUCTION"/>
    <s v="New Ticket"/>
    <d v="2020-04-17T00:00:00"/>
    <x v="0"/>
    <m/>
    <m/>
    <m/>
    <m/>
  </r>
  <r>
    <n v="111422"/>
    <d v="2020-05-15T18:10:00"/>
    <s v="Jde Error Page After Prod Activity"/>
    <s v="Kenex Willows"/>
    <s v="kwillows@yahoo.com"/>
    <x v="3"/>
    <x v="0"/>
    <x v="0"/>
    <x v="0"/>
    <x v="0"/>
    <d v="2020-06-16T17:48:00"/>
    <s v="N/A"/>
    <x v="0"/>
    <x v="0"/>
    <x v="0"/>
    <s v="N/A"/>
    <x v="1"/>
    <n v="9"/>
    <n v="2"/>
    <s v="PROD"/>
    <s v="PRODUCTION"/>
    <s v="New Ticket"/>
    <d v="2020-05-29T00:00:00"/>
    <x v="0"/>
    <m/>
    <m/>
    <m/>
    <m/>
  </r>
  <r>
    <n v="111414"/>
    <d v="2020-04-17T19:20:00"/>
    <s v="Run Sqr File In Cs 9.2"/>
    <s v="John Brown"/>
    <s v="jbrown@outlook.com"/>
    <x v="3"/>
    <x v="0"/>
    <x v="1"/>
    <x v="0"/>
    <x v="2"/>
    <d v="2020-06-01T10:56:00"/>
    <d v="2022-10-17T07:20:00"/>
    <x v="0"/>
    <x v="1"/>
    <x v="3"/>
    <s v="N/A"/>
    <x v="0"/>
    <n v="7"/>
    <n v="0"/>
    <s v="NON-PROD"/>
    <s v="DEVELOPMENT"/>
    <s v="New Ticket"/>
    <s v="No SLA for Request"/>
    <x v="1"/>
    <m/>
    <m/>
    <m/>
    <m/>
  </r>
  <r>
    <n v="111392"/>
    <d v="2020-02-27T09:14:00"/>
    <s v="Tagging Completion Error"/>
    <s v="Jasper John"/>
    <s v="jasper.john@gmail.com"/>
    <x v="3"/>
    <x v="0"/>
    <x v="0"/>
    <x v="0"/>
    <x v="0"/>
    <d v="2020-04-02T17:24:00"/>
    <s v="N/A"/>
    <x v="0"/>
    <x v="0"/>
    <x v="0"/>
    <s v="N/A"/>
    <x v="0"/>
    <n v="25"/>
    <n v="5"/>
    <s v="PROD"/>
    <s v="DEVELOPMENT"/>
    <s v="New Ticket"/>
    <d v="2020-03-12T00:00:00"/>
    <x v="0"/>
    <m/>
    <m/>
    <m/>
    <m/>
  </r>
  <r>
    <n v="111394"/>
    <d v="2020-03-02T15:29:00"/>
    <s v="No Search Results Returned In Cs 9.2"/>
    <s v="John Brown"/>
    <s v="jbrown@outlook.com"/>
    <x v="3"/>
    <x v="0"/>
    <x v="1"/>
    <x v="0"/>
    <x v="0"/>
    <d v="2020-03-03T17:46:00"/>
    <s v="N/A"/>
    <x v="0"/>
    <x v="0"/>
    <x v="0"/>
    <s v="N/A"/>
    <x v="0"/>
    <n v="7"/>
    <n v="1"/>
    <s v="NON-PROD"/>
    <s v="DEVELOPMENT"/>
    <s v="New Ticket"/>
    <s v="No SLA for Request"/>
    <x v="1"/>
    <m/>
    <m/>
    <m/>
    <m/>
  </r>
  <r>
    <n v="111285"/>
    <d v="2019-08-09T13:05:00"/>
    <s v="Removing Student Program/Plan."/>
    <s v="Jasper John"/>
    <s v="jasper.john@gmail.com"/>
    <x v="3"/>
    <x v="0"/>
    <x v="0"/>
    <x v="0"/>
    <x v="0"/>
    <d v="2019-12-13T18:06:00"/>
    <d v="2019-08-10T01:05:00"/>
    <x v="0"/>
    <x v="0"/>
    <x v="0"/>
    <s v="N/A"/>
    <x v="0"/>
    <n v="26"/>
    <n v="2"/>
    <s v="N/A"/>
    <s v="N/A"/>
    <s v="New Ticket"/>
    <d v="2019-08-23T00:00:00"/>
    <x v="0"/>
    <m/>
    <m/>
    <m/>
    <m/>
  </r>
  <r>
    <n v="111295"/>
    <d v="2019-09-02T17:13:00"/>
    <s v="Restart Of Instances"/>
    <s v="Aurora Miller"/>
    <s v="aurora.miller@outlook.com"/>
    <x v="3"/>
    <x v="0"/>
    <x v="1"/>
    <x v="0"/>
    <x v="0"/>
    <d v="2019-11-14T17:59:00"/>
    <d v="2019-09-03T05:13:00"/>
    <x v="0"/>
    <x v="0"/>
    <x v="0"/>
    <s v="N/A"/>
    <x v="0"/>
    <n v="13"/>
    <n v="0"/>
    <s v="N/A"/>
    <s v="N/A"/>
    <s v="Close Ticket"/>
    <s v="No SLA for Request"/>
    <x v="1"/>
    <m/>
    <m/>
    <m/>
    <m/>
  </r>
  <r>
    <n v="111287"/>
    <d v="2019-08-14T17:01:00"/>
    <s v="Integration Gateway Error"/>
    <s v="John Brown"/>
    <s v="jbrown@outlook.com"/>
    <x v="3"/>
    <x v="0"/>
    <x v="0"/>
    <x v="0"/>
    <x v="0"/>
    <d v="2019-08-27T17:10:00"/>
    <d v="2019-08-15T05:01:00"/>
    <x v="0"/>
    <x v="0"/>
    <x v="0"/>
    <s v="N/A"/>
    <x v="0"/>
    <n v="7"/>
    <n v="2"/>
    <s v="N/A"/>
    <s v="N/A"/>
    <s v="New Ticket"/>
    <d v="2019-08-28T00:00:00"/>
    <x v="2"/>
    <m/>
    <m/>
    <m/>
    <m/>
  </r>
  <r>
    <n v="111241"/>
    <d v="2019-06-25T10:22:00"/>
    <s v="Project Migration From Dev To Prod Instance"/>
    <s v="John Brown"/>
    <s v="jbrown@outlook.com"/>
    <x v="3"/>
    <x v="0"/>
    <x v="1"/>
    <x v="0"/>
    <x v="0"/>
    <d v="2019-08-27T17:03:00"/>
    <d v="2019-06-25T22:22:00"/>
    <x v="0"/>
    <x v="0"/>
    <x v="0"/>
    <s v="N/A"/>
    <x v="0"/>
    <n v="26"/>
    <n v="14"/>
    <s v="N/A"/>
    <s v="N/A"/>
    <s v="New Ticket"/>
    <s v="No SLA for Request"/>
    <x v="1"/>
    <m/>
    <m/>
    <m/>
    <m/>
  </r>
  <r>
    <n v="111270"/>
    <d v="2019-07-24T09:35:00"/>
    <s v="Java.Lang.Nullpointerexception In Dev Environment"/>
    <s v="John Brown"/>
    <s v="jbrown@outlook.com"/>
    <x v="3"/>
    <x v="0"/>
    <x v="0"/>
    <x v="0"/>
    <x v="0"/>
    <d v="2019-07-26T13:22:00"/>
    <d v="2019-07-24T17:00:00"/>
    <x v="0"/>
    <x v="0"/>
    <x v="0"/>
    <s v="N/A"/>
    <x v="0"/>
    <n v="7"/>
    <n v="1"/>
    <s v="N/A"/>
    <s v="N/A"/>
    <s v="Close Ticket"/>
    <d v="2019-08-07T00:00:00"/>
    <x v="2"/>
    <m/>
    <m/>
    <m/>
    <m/>
  </r>
  <r>
    <n v="111218"/>
    <d v="2019-05-30T14:03:00"/>
    <s v="UN/Able To Show The Class In Aa Ui / Report"/>
    <s v="John Brown"/>
    <s v="jbrown@outlook.com"/>
    <x v="3"/>
    <x v="0"/>
    <x v="0"/>
    <x v="0"/>
    <x v="0"/>
    <d v="2019-07-22T17:25:00"/>
    <s v="N/A"/>
    <x v="0"/>
    <x v="0"/>
    <x v="0"/>
    <s v="N/A"/>
    <x v="0"/>
    <n v="36"/>
    <n v="1"/>
    <s v="N/A"/>
    <s v="N/A"/>
    <s v="Close Ticket"/>
    <d v="2019-06-13T00:00:00"/>
    <x v="0"/>
    <m/>
    <m/>
    <m/>
    <m/>
  </r>
  <r>
    <n v="111239"/>
    <d v="2019-06-20T15:00:00"/>
    <s v="We Cannot Find Up_Form5_1."/>
    <s v="Jasper John"/>
    <s v="jasper.john@gmail.com"/>
    <x v="3"/>
    <x v="0"/>
    <x v="1"/>
    <x v="0"/>
    <x v="0"/>
    <d v="2019-07-15T15:19:00"/>
    <d v="2019-06-21T03:00:00"/>
    <x v="0"/>
    <x v="0"/>
    <x v="0"/>
    <s v="N/A"/>
    <x v="0"/>
    <n v="9"/>
    <n v="1"/>
    <s v="N/A"/>
    <s v="N/A"/>
    <s v="Close Ticket"/>
    <s v="No SLA for Request"/>
    <x v="1"/>
    <m/>
    <m/>
    <m/>
    <m/>
  </r>
  <r>
    <n v="111257"/>
    <d v="2019-07-10T11:22:00"/>
    <s v="Open Vpn Accounts"/>
    <s v="Jasper John"/>
    <s v="jasper.john@gmail.com"/>
    <x v="3"/>
    <x v="0"/>
    <x v="1"/>
    <x v="0"/>
    <x v="0"/>
    <d v="2019-07-15T15:17:00"/>
    <d v="2019-07-10T23:22:00"/>
    <x v="0"/>
    <x v="0"/>
    <x v="0"/>
    <s v="N/A"/>
    <x v="3"/>
    <n v="5"/>
    <n v="0"/>
    <s v="N/A"/>
    <s v="N/A"/>
    <s v="Close Ticket"/>
    <s v="No SLA for Request"/>
    <x v="1"/>
    <m/>
    <m/>
    <m/>
    <m/>
  </r>
  <r>
    <n v="111236"/>
    <d v="2019-06-19T13:00:00"/>
    <s v="Sap Dev Instance Not Accessible"/>
    <s v="Aurora Miller"/>
    <s v="aurora.miller@outlook.com"/>
    <x v="3"/>
    <x v="0"/>
    <x v="0"/>
    <x v="0"/>
    <x v="0"/>
    <d v="2019-07-01T17:31:00"/>
    <d v="2019-06-20T01:00:00"/>
    <x v="0"/>
    <x v="0"/>
    <x v="0"/>
    <s v="N/A"/>
    <x v="0"/>
    <n v="10"/>
    <n v="2"/>
    <s v="N/A"/>
    <s v="N/A"/>
    <s v="Close Ticket"/>
    <d v="2019-07-03T00:00:00"/>
    <x v="2"/>
    <m/>
    <m/>
    <m/>
    <m/>
  </r>
  <r>
    <n v="111202"/>
    <d v="2019-05-15T13:07:00"/>
    <s v="Can'T Access Dev. Instance"/>
    <s v="Jasper John"/>
    <s v="jasper.john@gmail.com"/>
    <x v="3"/>
    <x v="0"/>
    <x v="0"/>
    <x v="0"/>
    <x v="0"/>
    <d v="2019-06-14T13:52:00"/>
    <d v="2019-05-16T01:07:00"/>
    <x v="0"/>
    <x v="0"/>
    <x v="0"/>
    <s v="N/A"/>
    <x v="0"/>
    <n v="14"/>
    <n v="3"/>
    <s v="N/A"/>
    <s v="N/A"/>
    <s v="Close Ticket"/>
    <d v="2019-05-29T00:00:00"/>
    <x v="0"/>
    <m/>
    <m/>
    <m/>
    <m/>
  </r>
  <r>
    <n v="111205"/>
    <d v="2019-05-17T15:33:00"/>
    <s v="Faculty Roles For Viewing Query Report"/>
    <s v="Jasper John"/>
    <s v="jasper.john@gmail.com"/>
    <x v="3"/>
    <x v="0"/>
    <x v="1"/>
    <x v="0"/>
    <x v="0"/>
    <d v="2019-05-17T17:51:00"/>
    <d v="2019-05-18T03:33:00"/>
    <x v="0"/>
    <x v="0"/>
    <x v="0"/>
    <s v="N/A"/>
    <x v="0"/>
    <n v="6"/>
    <n v="2"/>
    <s v="N/A"/>
    <s v="N/A"/>
    <s v="New Ticket"/>
    <s v="No SLA for Request"/>
    <x v="1"/>
    <m/>
    <m/>
    <m/>
    <m/>
  </r>
  <r>
    <n v="111128"/>
    <d v="2019-02-15T16:42:00"/>
    <s v="Component Interface Based Web Services Error"/>
    <s v="John Brown"/>
    <s v="jbrown@outlook.com"/>
    <x v="3"/>
    <x v="0"/>
    <x v="1"/>
    <x v="0"/>
    <x v="0"/>
    <d v="2019-03-05T18:07:00"/>
    <d v="2019-02-16T04:42:00"/>
    <x v="0"/>
    <x v="0"/>
    <x v="0"/>
    <s v="N/A"/>
    <x v="0"/>
    <n v="21"/>
    <n v="2"/>
    <s v="N/A"/>
    <s v="N/A"/>
    <s v="New Ticket"/>
    <s v="No SLA for Request"/>
    <x v="1"/>
    <m/>
    <m/>
    <m/>
    <m/>
  </r>
  <r>
    <n v="111124"/>
    <d v="2019-02-08T09:46:00"/>
    <s v="Wget.Sh Error Encountered"/>
    <s v="John Brown"/>
    <s v="jbrown@outlook.com"/>
    <x v="3"/>
    <x v="0"/>
    <x v="1"/>
    <x v="0"/>
    <x v="0"/>
    <d v="2019-02-13T09:45:00"/>
    <d v="2019-02-08T21:46:00"/>
    <x v="0"/>
    <x v="0"/>
    <x v="3"/>
    <s v="N/A"/>
    <x v="0"/>
    <n v="9"/>
    <n v="3"/>
    <s v="N/A"/>
    <s v="N/A"/>
    <s v="New Ticket"/>
    <s v="No SLA for Request"/>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FE024-0554-4F77-A9B7-9AA7C9E7FBA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3:C11" firstHeaderRow="0" firstDataRow="1" firstDataCol="1"/>
  <pivotFields count="28">
    <pivotField showAll="0"/>
    <pivotField numFmtId="164" showAll="0"/>
    <pivotField showAll="0"/>
    <pivotField showAll="0"/>
    <pivotField showAll="0"/>
    <pivotField showAll="0"/>
    <pivotField showAll="0"/>
    <pivotField showAll="0"/>
    <pivotField showAll="0"/>
    <pivotField showAll="0">
      <items count="4">
        <item x="0"/>
        <item x="2"/>
        <item x="1"/>
        <item t="default"/>
      </items>
    </pivotField>
    <pivotField numFmtId="164" showAll="0"/>
    <pivotField showAll="0"/>
    <pivotField showAll="0">
      <items count="3">
        <item x="0"/>
        <item x="1"/>
        <item t="default"/>
      </items>
    </pivotField>
    <pivotField showAll="0">
      <items count="3">
        <item x="1"/>
        <item x="0"/>
        <item t="default"/>
      </items>
    </pivotField>
    <pivotField axis="axisRow" showAll="0">
      <items count="7">
        <item x="0"/>
        <item x="4"/>
        <item x="1"/>
        <item x="3"/>
        <item x="5"/>
        <item x="2"/>
        <item t="default"/>
      </items>
    </pivotField>
    <pivotField showAll="0"/>
    <pivotField axis="axisRow" dataField="1" showAll="0">
      <items count="10">
        <item sd="0" x="3"/>
        <item sd="0" x="6"/>
        <item sd="0" x="5"/>
        <item sd="0" x="4"/>
        <item sd="0" x="1"/>
        <item sd="0" x="2"/>
        <item sd="0" x="7"/>
        <item sd="0" x="0"/>
        <item sd="0" x="8"/>
        <item t="default"/>
      </items>
    </pivotField>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s>
  <rowFields count="2">
    <field x="16"/>
    <field x="14"/>
  </rowFields>
  <rowItems count="8">
    <i>
      <x/>
    </i>
    <i>
      <x v="1"/>
    </i>
    <i>
      <x v="3"/>
    </i>
    <i>
      <x v="4"/>
    </i>
    <i>
      <x v="5"/>
    </i>
    <i>
      <x v="7"/>
    </i>
    <i>
      <x v="8"/>
    </i>
    <i t="grand">
      <x/>
    </i>
  </rowItems>
  <colFields count="1">
    <field x="-2"/>
  </colFields>
  <colItems count="2">
    <i>
      <x/>
    </i>
    <i i="1">
      <x v="1"/>
    </i>
  </colItems>
  <dataFields count="2">
    <dataField name="Count of Team Assigned" fld="16" subtotal="count" baseField="0" baseItem="0"/>
    <dataField name="Count of Team Assigned2" fld="16" subtotal="count" showDataAs="percentOfTotal" baseField="0" baseItem="0" numFmtId="10"/>
  </dataFields>
  <formats count="12">
    <format dxfId="341">
      <pivotArea type="all" dataOnly="0" outline="0" fieldPosition="0"/>
    </format>
    <format dxfId="342">
      <pivotArea outline="0" collapsedLevelsAreSubtotals="1" fieldPosition="0"/>
    </format>
    <format dxfId="343">
      <pivotArea field="16" type="button" dataOnly="0" labelOnly="1" outline="0" axis="axisRow" fieldPosition="0"/>
    </format>
    <format dxfId="344">
      <pivotArea dataOnly="0" labelOnly="1" fieldPosition="0">
        <references count="1">
          <reference field="16" count="0"/>
        </references>
      </pivotArea>
    </format>
    <format dxfId="345">
      <pivotArea dataOnly="0" labelOnly="1" grandRow="1" outline="0" fieldPosition="0"/>
    </format>
    <format dxfId="346">
      <pivotArea type="all" dataOnly="0" outline="0" fieldPosition="0"/>
    </format>
    <format dxfId="347">
      <pivotArea outline="0" collapsedLevelsAreSubtotals="1" fieldPosition="0"/>
    </format>
    <format dxfId="348">
      <pivotArea field="16" type="button" dataOnly="0" labelOnly="1" outline="0" axis="axisRow" fieldPosition="0"/>
    </format>
    <format dxfId="349">
      <pivotArea dataOnly="0" labelOnly="1" fieldPosition="0">
        <references count="1">
          <reference field="16" count="0"/>
        </references>
      </pivotArea>
    </format>
    <format dxfId="350">
      <pivotArea dataOnly="0" labelOnly="1" grandRow="1" outline="0" fieldPosition="0"/>
    </format>
    <format dxfId="324">
      <pivotArea dataOnly="0" labelOnly="1" outline="0" axis="axisValues" fieldPosition="0"/>
    </format>
    <format dxfId="30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D52FB-1049-41BB-8488-951D990EF9E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4:T39" firstHeaderRow="1" firstDataRow="1" firstDataCol="1"/>
  <pivotFields count="28">
    <pivotField showAll="0"/>
    <pivotField numFmtId="164" showAll="0"/>
    <pivotField showAll="0"/>
    <pivotField showAll="0"/>
    <pivotField showAll="0"/>
    <pivotField axis="axisRow" dataField="1" showAll="0">
      <items count="5">
        <item x="0"/>
        <item x="1"/>
        <item x="3"/>
        <item x="2"/>
        <item t="default"/>
      </items>
    </pivotField>
    <pivotField showAll="0"/>
    <pivotField showAll="0"/>
    <pivotField showAll="0"/>
    <pivotField showAll="0"/>
    <pivotField numFmtId="164" showAll="0"/>
    <pivotField showAll="0"/>
    <pivotField showAll="0"/>
    <pivotField showAll="0"/>
    <pivotField showAll="0">
      <items count="7">
        <item x="0"/>
        <item x="4"/>
        <item x="1"/>
        <item x="3"/>
        <item x="5"/>
        <item x="2"/>
        <item t="default"/>
      </items>
    </pivotField>
    <pivotField showAll="0"/>
    <pivotField showAll="0">
      <items count="10">
        <item x="3"/>
        <item x="6"/>
        <item x="5"/>
        <item x="4"/>
        <item x="1"/>
        <item x="2"/>
        <item x="7"/>
        <item x="0"/>
        <item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Priority" fld="5" subtotal="count" baseField="0" baseItem="0"/>
  </dataFields>
  <formats count="6">
    <format dxfId="975">
      <pivotArea type="all" dataOnly="0" outline="0" fieldPosition="0"/>
    </format>
    <format dxfId="976">
      <pivotArea outline="0" collapsedLevelsAreSubtotals="1" fieldPosition="0"/>
    </format>
    <format dxfId="977">
      <pivotArea field="5" type="button" dataOnly="0" labelOnly="1" outline="0" axis="axisRow" fieldPosition="0"/>
    </format>
    <format dxfId="978">
      <pivotArea dataOnly="0" labelOnly="1" fieldPosition="0">
        <references count="1">
          <reference field="5" count="0"/>
        </references>
      </pivotArea>
    </format>
    <format dxfId="979">
      <pivotArea dataOnly="0" labelOnly="1" grandRow="1" outline="0" fieldPosition="0"/>
    </format>
    <format dxfId="9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95EBD8-BBFA-4E66-8035-C718D78F7A8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9" firstHeaderRow="1" firstDataRow="1" firstDataCol="1"/>
  <pivotFields count="28">
    <pivotField showAll="0"/>
    <pivotField numFmtId="164" showAll="0"/>
    <pivotField showAll="0"/>
    <pivotField showAll="0"/>
    <pivotField showAll="0"/>
    <pivotField showAll="0">
      <items count="5">
        <item x="0"/>
        <item x="1"/>
        <item x="3"/>
        <item x="2"/>
        <item t="default"/>
      </items>
    </pivotField>
    <pivotField showAll="0">
      <items count="3">
        <item x="1"/>
        <item x="0"/>
        <item t="default"/>
      </items>
    </pivotField>
    <pivotField showAll="0">
      <items count="3">
        <item x="0"/>
        <item x="1"/>
        <item t="default"/>
      </items>
    </pivotField>
    <pivotField showAll="0">
      <items count="5">
        <item x="1"/>
        <item x="3"/>
        <item x="2"/>
        <item x="0"/>
        <item t="default"/>
      </items>
    </pivotField>
    <pivotField axis="axisRow" dataField="1" showAll="0">
      <items count="4">
        <item x="0"/>
        <item x="2"/>
        <item x="1"/>
        <item t="default"/>
      </items>
    </pivotField>
    <pivotField numFmtId="164" showAll="0"/>
    <pivotField showAll="0"/>
    <pivotField showAll="0"/>
    <pivotField showAll="0"/>
    <pivotField showAll="0">
      <items count="7">
        <item x="0"/>
        <item x="4"/>
        <item x="1"/>
        <item x="3"/>
        <item x="5"/>
        <item x="2"/>
        <item t="default"/>
      </items>
    </pivotField>
    <pivotField showAll="0"/>
    <pivotField showAll="0">
      <items count="10">
        <item x="3"/>
        <item x="6"/>
        <item x="5"/>
        <item x="4"/>
        <item x="1"/>
        <item x="2"/>
        <item x="7"/>
        <item x="0"/>
        <item x="8"/>
        <item t="default"/>
      </items>
    </pivotField>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s>
  <rowFields count="1">
    <field x="9"/>
  </rowFields>
  <rowItems count="4">
    <i>
      <x/>
    </i>
    <i>
      <x v="1"/>
    </i>
    <i>
      <x v="2"/>
    </i>
    <i t="grand">
      <x/>
    </i>
  </rowItems>
  <colItems count="1">
    <i/>
  </colItems>
  <dataFields count="1">
    <dataField name="Count of Ticket per Current Status" fld="9" subtotal="count" baseField="9"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B47C0785-2A8F-4E40-9736-1B2C2C5C0E45}" sourceName="Priority">
  <pivotTables>
    <pivotTable tabId="6" name="PivotTable3"/>
  </pivotTables>
  <data>
    <tabular pivotCacheId="3948804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B2D1ED-4368-4FD4-B29D-98DF5FBD3030}" sourceName="Department">
  <pivotTables>
    <pivotTable tabId="6" name="PivotTable3"/>
  </pivotTables>
  <data>
    <tabular pivotCacheId="3948804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AC99E68-575F-4665-A6A3-04E62B3CF84B}" sourceName="Type">
  <pivotTables>
    <pivotTable tabId="6" name="PivotTable3"/>
  </pivotTables>
  <data>
    <tabular pivotCacheId="39488048">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639A97D5-7A22-4FBA-A238-66ABEAAD3693}" sourceName="Source">
  <pivotTables>
    <pivotTable tabId="6" name="PivotTable3"/>
  </pivotTables>
  <data>
    <tabular pivotCacheId="39488048">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ched_SLA" xr10:uid="{9D7199C7-8200-44CC-86A5-4DC0BDA7BEF9}" sourceName="Breached SLA">
  <pivotTables>
    <pivotTable tabId="6" name="PivotTable3"/>
  </pivotTables>
  <data>
    <tabular pivotCacheId="39488048">
      <items count="3">
        <i x="1"/>
        <i x="2"/>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Assigned" xr10:uid="{0FE45105-C165-4247-B8F2-55AB408707D6}" sourceName="Agent Assigned">
  <pivotTables>
    <pivotTable tabId="5" name="PivotTable1"/>
  </pivotTables>
  <data>
    <tabular pivotCacheId="39488048">
      <items count="6">
        <i x="0" s="1"/>
        <i x="4" s="1"/>
        <i x="1" s="1"/>
        <i x="3" s="1"/>
        <i x="5"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Assigned" xr10:uid="{8BE2F067-1238-4482-BF19-514824C5B290}" sourceName="Team Assigned">
  <pivotTables>
    <pivotTable tabId="5" name="PivotTable1"/>
  </pivotTables>
  <data>
    <tabular pivotCacheId="39488048">
      <items count="9">
        <i x="3" s="1"/>
        <i x="6" s="1"/>
        <i x="4" s="1"/>
        <i x="1" s="1"/>
        <i x="2" s="1"/>
        <i x="0" s="1"/>
        <i x="8" s="1"/>
        <i x="5" s="1" nd="1"/>
        <i x="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atus" xr10:uid="{C75166E9-F75F-426D-92F9-123FC0581351}" sourceName="Current Status">
  <pivotTables>
    <pivotTable tabId="5" name="PivotTable1"/>
  </pivotTables>
  <data>
    <tabular pivotCacheId="39488048">
      <items count="3">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due" xr10:uid="{79FA2674-336C-4E12-A6A4-199942186E62}" sourceName="Overdue">
  <pivotTables>
    <pivotTable tabId="5" name="PivotTable1"/>
  </pivotTables>
  <data>
    <tabular pivotCacheId="39488048">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swered" xr10:uid="{0D161830-FF6D-4165-9EFA-A7BEC0661A37}" sourceName="Answered">
  <pivotTables>
    <pivotTable tabId="5" name="PivotTable1"/>
  </pivotTables>
  <data>
    <tabular pivotCacheId="39488048">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ched_SLA1" xr10:uid="{E3D2A804-C11A-451E-863E-8785AB814809}" sourceName="Breached SLA">
  <pivotTables>
    <pivotTable tabId="5" name="PivotTable1"/>
  </pivotTables>
  <data>
    <tabular pivotCacheId="39488048">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Assigned" xr10:uid="{2D518D5F-BC54-47D0-B6E0-9E5E5A63313A}" cache="Slicer_Agent_Assigned" caption="Agent Assigned" rowHeight="225425"/>
  <slicer name="Team Assigned" xr10:uid="{63262B45-68A5-49F3-AD12-8FE10FE8EB38}" cache="Slicer_Team_Assigned" caption="Team Assigned" rowHeight="225425"/>
  <slicer name="Current Status" xr10:uid="{FC5B1750-31B6-45FC-9688-0A987528C9BB}" cache="Slicer_Current_Status" caption="Current Status" rowHeight="225425"/>
  <slicer name="Overdue" xr10:uid="{4FA52BD6-AA80-48ED-8A3D-8D0D30FFE7A0}" cache="Slicer_Overdue" caption="Overdue" rowHeight="225425"/>
  <slicer name="Answered" xr10:uid="{1766AA3A-BE94-4F9E-AF0C-5944C95F872D}" cache="Slicer_Answered" caption="Answered" rowHeight="225425"/>
  <slicer name="Breached SLA 1" xr10:uid="{DEE10583-F73C-43DE-B5AB-5FDA64804344}" cache="Slicer_Breached_SLA1" caption="Breached SLA"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36A9AC3D-1589-4388-AC81-E994F1A5C241}" cache="Slicer_Priority" caption="Priority" rowHeight="225425"/>
  <slicer name="Department" xr10:uid="{A4E2B35E-B1F9-4F00-879C-36B0FB777F7B}" cache="Slicer_Department" caption="Department" rowHeight="225425"/>
  <slicer name="Type" xr10:uid="{9D91D59E-E0B5-46FF-B728-BA3AC6058F33}" cache="Slicer_Type" caption="Type" rowHeight="225425"/>
  <slicer name="Source" xr10:uid="{483D4A36-60C7-44BD-A72F-42F8ACEFCF69}" cache="Slicer_Source" caption="Source" rowHeight="225425"/>
  <slicer name="Breached SLA" xr10:uid="{1A4E89E9-1666-4037-A5E6-DE480EFF4E75}" cache="Slicer_Breached_SLA" caption="Breached SLA"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ECC02E-57EC-4E11-B552-D405D6F0CE50}" name="Table1" displayName="Table1" ref="A1:AB537" totalsRowShown="0" headerRowDxfId="1004">
  <autoFilter ref="A1:AB537" xr:uid="{57ECC02E-57EC-4E11-B552-D405D6F0CE50}"/>
  <tableColumns count="28">
    <tableColumn id="1" xr3:uid="{108C3A12-84AC-411E-9B1C-277771EA38AD}" name="Ticket Number" dataDxfId="1003"/>
    <tableColumn id="2" xr3:uid="{2B2F7728-7C01-4692-9EAB-E94165075345}" name="Date Created" dataDxfId="1002"/>
    <tableColumn id="3" xr3:uid="{BA4C0303-C266-4294-A486-8A349E9FB665}" name="Subject" dataDxfId="1001"/>
    <tableColumn id="4" xr3:uid="{C56EA12F-1669-4A59-B696-EAC7755AF826}" name="From" dataDxfId="1000"/>
    <tableColumn id="5" xr3:uid="{6B053702-D7F7-4C65-BA9E-42E86A449D5E}" name="From Email" dataDxfId="999"/>
    <tableColumn id="6" xr3:uid="{80F92CCE-9842-46D1-A549-DBEA4504CCC6}" name="Priority" dataDxfId="998"/>
    <tableColumn id="7" xr3:uid="{BCC814F2-5864-402B-A6FB-048BD96E6F33}" name="Department" dataDxfId="997"/>
    <tableColumn id="8" xr3:uid="{FBDE930D-1634-4F45-8BF9-AC341077C5ED}" name="Type" dataDxfId="996"/>
    <tableColumn id="9" xr3:uid="{59A1A07F-90B5-4AC4-8545-0AFB15B4E96A}" name="Source" dataDxfId="995"/>
    <tableColumn id="10" xr3:uid="{3CDF6B5B-FE1B-4323-BD4A-DAE16BAEFB70}" name="Current Status" dataDxfId="994"/>
    <tableColumn id="11" xr3:uid="{29919DFF-F768-4E67-816A-40ECB7509875}" name="Last Updated" dataDxfId="993"/>
    <tableColumn id="12" xr3:uid="{BDC3BF86-5830-4A5F-85DF-6BFAC26172B3}" name="Due Date" dataDxfId="992"/>
    <tableColumn id="13" xr3:uid="{1CCCF68F-BC23-4CD8-A6D2-2F1FB6F6548B}" name="Overdue" dataDxfId="991"/>
    <tableColumn id="14" xr3:uid="{10F15F9F-2BFF-4F01-8525-BEA4AB45CC75}" name="Answered" dataDxfId="990"/>
    <tableColumn id="15" xr3:uid="{D90F9BA4-8DAC-4BDA-9757-E943F386E99C}" name="Agent Assigned" dataDxfId="989"/>
    <tableColumn id="16" xr3:uid="{B46BC713-840C-4019-B398-87D7D840CD9F}" name="Team Lead" dataDxfId="988"/>
    <tableColumn id="17" xr3:uid="{C09D3983-AD9B-44D9-9610-2F4107C8E9CC}" name="Team Assigned" dataDxfId="987"/>
    <tableColumn id="18" xr3:uid="{0906C452-5971-4952-89FD-CCF8A1061DB2}" name="Thread Count" dataDxfId="986"/>
    <tableColumn id="19" xr3:uid="{D860EFAC-F840-4EE2-A80C-AA7D70E81904}" name="Attachment Count" dataDxfId="985"/>
    <tableColumn id="20" xr3:uid="{81918F2F-5541-4602-BC2E-B80419EFBB2A}" name="Category" dataDxfId="984"/>
    <tableColumn id="21" xr3:uid="{C544CDDA-F3B4-4533-ADEE-C5C0D1DF8DA7}" name="Issue Origin" dataDxfId="983"/>
    <tableColumn id="22" xr3:uid="{BC46F484-EEA5-4AD6-A8E7-E4A2E8872CD7}" name="Select Ticket Status Update" dataDxfId="982"/>
    <tableColumn id="23" xr3:uid="{01846C8C-72FB-4259-97F7-600203F07445}" name="SLA Due Date" dataDxfId="981">
      <calculatedColumnFormula array="1">IF(H2="Request","No SLA for Request", IF(F2="Emergency",B2+(4/24), WORKDAY(B2, _xlfn.IFS(F2="High", 3, F2="Normal", 5, F2="Low", 10))))</calculatedColumnFormula>
    </tableColumn>
    <tableColumn id="24" xr3:uid="{5BB91D58-30EC-4AFE-987D-DA96BDA17A15}" name="Breached SLA">
      <calculatedColumnFormula>IF(K2&gt;=W2,"Yes",IF(W2="No SLA for Request","N/A","No"))</calculatedColumnFormula>
    </tableColumn>
    <tableColumn id="25" xr3:uid="{7F508846-3B4B-4630-9D49-BAB0B3E78A1E}" name="SR No."/>
    <tableColumn id="26" xr3:uid="{7A1BE55E-91C2-4BD8-B9B2-D95F95E8C176}" name="Corrective Actions"/>
    <tableColumn id="27" xr3:uid="{EF7680D2-D4BB-4A20-89B8-3CE68BCC03A1}" name="Preventive Actions"/>
    <tableColumn id="28" xr3:uid="{F30C8125-918B-43C6-B9CF-92E7462C99E1}" name="Closed By"/>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553"/>
  <sheetViews>
    <sheetView workbookViewId="0">
      <selection activeCell="C401" sqref="C401"/>
    </sheetView>
  </sheetViews>
  <sheetFormatPr defaultColWidth="12.5703125" defaultRowHeight="15.75" customHeight="1" x14ac:dyDescent="0.2"/>
  <cols>
    <col min="1" max="1" width="16.28515625" customWidth="1"/>
    <col min="2" max="2" width="18.140625" style="11" bestFit="1" customWidth="1"/>
    <col min="3" max="3" width="48.5703125" customWidth="1"/>
    <col min="4" max="4" width="17.5703125" bestFit="1" customWidth="1"/>
    <col min="5" max="5" width="27.140625" bestFit="1" customWidth="1"/>
    <col min="6" max="6" width="10.42578125" bestFit="1" customWidth="1"/>
    <col min="7" max="7" width="26.5703125" bestFit="1" customWidth="1"/>
    <col min="8" max="8" width="16.140625" bestFit="1" customWidth="1"/>
    <col min="9" max="9" width="9.5703125" customWidth="1"/>
    <col min="10" max="10" width="16" customWidth="1"/>
    <col min="11" max="12" width="18.140625" style="11" bestFit="1" customWidth="1"/>
    <col min="13" max="13" width="10.85546875" customWidth="1"/>
    <col min="14" max="14" width="12.140625" customWidth="1"/>
    <col min="15" max="15" width="17.140625" customWidth="1"/>
    <col min="16" max="16" width="13.42578125" customWidth="1"/>
    <col min="17" max="17" width="31.7109375" bestFit="1" customWidth="1"/>
    <col min="18" max="18" width="15.42578125" customWidth="1"/>
    <col min="19" max="19" width="19.28515625" customWidth="1"/>
    <col min="20" max="20" width="21.7109375" bestFit="1" customWidth="1"/>
    <col min="21" max="21" width="30.28515625" bestFit="1" customWidth="1"/>
    <col min="22" max="22" width="28" customWidth="1"/>
    <col min="23" max="23" width="18.140625" style="11" bestFit="1" customWidth="1"/>
    <col min="24" max="24" width="16.140625" customWidth="1"/>
    <col min="26" max="26" width="19.5703125" customWidth="1"/>
    <col min="27" max="27" width="20" customWidth="1"/>
  </cols>
  <sheetData>
    <row r="1" spans="1:28" ht="12.75" x14ac:dyDescent="0.2">
      <c r="A1" s="3" t="s">
        <v>0</v>
      </c>
      <c r="B1" s="8" t="s">
        <v>1</v>
      </c>
      <c r="C1" s="9" t="s">
        <v>2</v>
      </c>
      <c r="D1" s="3" t="s">
        <v>3</v>
      </c>
      <c r="E1" s="3" t="s">
        <v>4</v>
      </c>
      <c r="F1" s="3" t="s">
        <v>5</v>
      </c>
      <c r="G1" s="3" t="s">
        <v>6</v>
      </c>
      <c r="H1" s="3" t="s">
        <v>7</v>
      </c>
      <c r="I1" s="3" t="s">
        <v>8</v>
      </c>
      <c r="J1" s="3" t="s">
        <v>9</v>
      </c>
      <c r="K1" s="8" t="s">
        <v>10</v>
      </c>
      <c r="L1" s="8" t="s">
        <v>11</v>
      </c>
      <c r="M1" s="3" t="s">
        <v>12</v>
      </c>
      <c r="N1" s="3" t="s">
        <v>13</v>
      </c>
      <c r="O1" s="3" t="s">
        <v>14</v>
      </c>
      <c r="P1" s="3" t="s">
        <v>15</v>
      </c>
      <c r="Q1" s="3" t="s">
        <v>16</v>
      </c>
      <c r="R1" s="3" t="s">
        <v>17</v>
      </c>
      <c r="S1" s="3" t="s">
        <v>18</v>
      </c>
      <c r="T1" s="3" t="s">
        <v>19</v>
      </c>
      <c r="U1" s="3" t="s">
        <v>20</v>
      </c>
      <c r="V1" s="3" t="s">
        <v>21</v>
      </c>
      <c r="W1" s="8" t="s">
        <v>662</v>
      </c>
      <c r="X1" s="3" t="s">
        <v>663</v>
      </c>
      <c r="Y1" s="3" t="s">
        <v>22</v>
      </c>
      <c r="Z1" s="3" t="s">
        <v>23</v>
      </c>
      <c r="AA1" s="3" t="s">
        <v>24</v>
      </c>
      <c r="AB1" s="3" t="s">
        <v>25</v>
      </c>
    </row>
    <row r="2" spans="1:28" ht="12.75" x14ac:dyDescent="0.2">
      <c r="A2" s="3">
        <v>111636</v>
      </c>
      <c r="B2" s="8">
        <v>44267.414583333331</v>
      </c>
      <c r="C2" s="3" t="s">
        <v>202</v>
      </c>
      <c r="D2" s="3" t="s">
        <v>26</v>
      </c>
      <c r="E2" s="3" t="s">
        <v>27</v>
      </c>
      <c r="F2" s="3" t="s">
        <v>28</v>
      </c>
      <c r="G2" s="3" t="s">
        <v>29</v>
      </c>
      <c r="H2" s="3" t="s">
        <v>30</v>
      </c>
      <c r="I2" s="3" t="s">
        <v>31</v>
      </c>
      <c r="J2" s="3" t="s">
        <v>32</v>
      </c>
      <c r="K2" s="8">
        <v>44279.72152777778</v>
      </c>
      <c r="L2" s="8">
        <v>44267.581250000003</v>
      </c>
      <c r="M2" s="3">
        <v>0</v>
      </c>
      <c r="N2" s="3">
        <v>1</v>
      </c>
      <c r="O2" s="3" t="s">
        <v>33</v>
      </c>
      <c r="P2" s="10" t="s">
        <v>576</v>
      </c>
      <c r="Q2" s="3" t="s">
        <v>34</v>
      </c>
      <c r="R2" s="3">
        <v>16</v>
      </c>
      <c r="S2" s="3">
        <v>2</v>
      </c>
      <c r="T2" s="3" t="s">
        <v>35</v>
      </c>
      <c r="U2" s="3" t="s">
        <v>36</v>
      </c>
      <c r="V2" s="3" t="s">
        <v>37</v>
      </c>
      <c r="W2" s="11" cm="1">
        <f t="array" ref="W2">IF(H2="Request","No SLA for Request", IF(F2="Emergency",B2+(4/24), WORKDAY(B2, _xlfn.IFS(F2="High", 3, F2="Normal", 5, F2="Low", 10))))</f>
        <v>44267.581249999996</v>
      </c>
      <c r="X2" t="str">
        <f>IF(K2&gt;=W2,"Yes",IF(W2="No SLA for Request","N/A","No"))</f>
        <v>Yes</v>
      </c>
    </row>
    <row r="3" spans="1:28" ht="12.75" x14ac:dyDescent="0.2">
      <c r="A3" s="3">
        <v>111632</v>
      </c>
      <c r="B3" s="8">
        <v>44265.681250000001</v>
      </c>
      <c r="C3" s="3" t="s">
        <v>38</v>
      </c>
      <c r="D3" s="3" t="s">
        <v>39</v>
      </c>
      <c r="E3" s="3" t="s">
        <v>40</v>
      </c>
      <c r="F3" s="3" t="s">
        <v>28</v>
      </c>
      <c r="G3" s="3" t="s">
        <v>29</v>
      </c>
      <c r="H3" s="3" t="s">
        <v>30</v>
      </c>
      <c r="I3" s="3" t="s">
        <v>31</v>
      </c>
      <c r="J3" s="3" t="s">
        <v>41</v>
      </c>
      <c r="K3" s="8">
        <v>44273.719444444447</v>
      </c>
      <c r="L3" s="8">
        <v>44270.681250000001</v>
      </c>
      <c r="M3" s="3">
        <v>1</v>
      </c>
      <c r="N3" s="3">
        <v>1</v>
      </c>
      <c r="O3" s="3" t="s">
        <v>42</v>
      </c>
      <c r="P3" s="10" t="s">
        <v>576</v>
      </c>
      <c r="Q3" s="3" t="s">
        <v>43</v>
      </c>
      <c r="R3" s="3">
        <v>28</v>
      </c>
      <c r="S3" s="3">
        <v>6</v>
      </c>
      <c r="T3" s="3" t="s">
        <v>35</v>
      </c>
      <c r="U3" s="3" t="s">
        <v>36</v>
      </c>
      <c r="V3" s="3" t="s">
        <v>37</v>
      </c>
      <c r="W3" s="11" cm="1">
        <f t="array" ref="W3">IF(H3="Request","No SLA for Request", IF(F3="Emergency",B3+(4/24), WORKDAY(B3, _xlfn.IFS(F3="High", 3, F3="Normal", 5, F3="Low", 10))))</f>
        <v>44265.847916666666</v>
      </c>
      <c r="X3" t="str">
        <f t="shared" ref="X3:X66" si="0">IF(K3&gt;=W3,"Yes",IF(W3="No SLA for Request","N/A","No"))</f>
        <v>Yes</v>
      </c>
    </row>
    <row r="4" spans="1:28" ht="12.75" x14ac:dyDescent="0.2">
      <c r="A4" s="3">
        <v>111621</v>
      </c>
      <c r="B4" s="8">
        <v>44249.505555555559</v>
      </c>
      <c r="C4" s="3" t="s">
        <v>203</v>
      </c>
      <c r="D4" s="3" t="s">
        <v>44</v>
      </c>
      <c r="E4" s="3" t="s">
        <v>45</v>
      </c>
      <c r="F4" s="3" t="s">
        <v>28</v>
      </c>
      <c r="G4" s="3" t="s">
        <v>577</v>
      </c>
      <c r="H4" s="3" t="s">
        <v>30</v>
      </c>
      <c r="I4" s="3" t="s">
        <v>31</v>
      </c>
      <c r="J4" s="3" t="s">
        <v>32</v>
      </c>
      <c r="K4" s="8">
        <v>44260.611111111109</v>
      </c>
      <c r="L4" s="8">
        <v>44250.005555555559</v>
      </c>
      <c r="M4" s="3">
        <v>0</v>
      </c>
      <c r="N4" s="3">
        <v>1</v>
      </c>
      <c r="O4" s="3" t="s">
        <v>33</v>
      </c>
      <c r="P4" s="10" t="s">
        <v>576</v>
      </c>
      <c r="Q4" s="3" t="s">
        <v>46</v>
      </c>
      <c r="R4" s="3">
        <v>5</v>
      </c>
      <c r="S4" s="3">
        <v>1</v>
      </c>
      <c r="T4" s="3" t="s">
        <v>35</v>
      </c>
      <c r="U4" s="3" t="s">
        <v>36</v>
      </c>
      <c r="V4" s="3" t="s">
        <v>37</v>
      </c>
      <c r="W4" s="11" cm="1">
        <f t="array" ref="W4">IF(H4="Request","No SLA for Request", IF(F4="Emergency",B4+(4/24), WORKDAY(B4, _xlfn.IFS(F4="High", 3, F4="Normal", 5, F4="Low", 10))))</f>
        <v>44249.672222222223</v>
      </c>
      <c r="X4" t="str">
        <f t="shared" si="0"/>
        <v>Yes</v>
      </c>
    </row>
    <row r="5" spans="1:28" ht="12.75" x14ac:dyDescent="0.2">
      <c r="A5" s="3">
        <v>111608</v>
      </c>
      <c r="B5" s="8">
        <v>44242.486805555556</v>
      </c>
      <c r="C5" s="3" t="s">
        <v>204</v>
      </c>
      <c r="D5" s="3" t="s">
        <v>47</v>
      </c>
      <c r="E5" s="3" t="s">
        <v>578</v>
      </c>
      <c r="F5" s="3" t="s">
        <v>28</v>
      </c>
      <c r="G5" s="3" t="s">
        <v>29</v>
      </c>
      <c r="H5" s="3" t="s">
        <v>30</v>
      </c>
      <c r="I5" s="3" t="s">
        <v>31</v>
      </c>
      <c r="J5" s="3" t="s">
        <v>32</v>
      </c>
      <c r="K5" s="8">
        <v>44251.736111111109</v>
      </c>
      <c r="L5" s="8">
        <v>44242.986805555556</v>
      </c>
      <c r="M5" s="3">
        <v>0</v>
      </c>
      <c r="N5" s="3">
        <v>1</v>
      </c>
      <c r="O5" s="3" t="s">
        <v>33</v>
      </c>
      <c r="P5" s="10" t="s">
        <v>576</v>
      </c>
      <c r="Q5" s="3" t="s">
        <v>43</v>
      </c>
      <c r="R5" s="3">
        <v>12</v>
      </c>
      <c r="S5" s="3">
        <v>1</v>
      </c>
      <c r="T5" s="3" t="s">
        <v>35</v>
      </c>
      <c r="U5" s="3" t="s">
        <v>36</v>
      </c>
      <c r="V5" s="3" t="s">
        <v>48</v>
      </c>
      <c r="W5" s="11" cm="1">
        <f t="array" ref="W5">IF(H5="Request","No SLA for Request", IF(F5="Emergency",B5+(4/24), WORKDAY(B5, _xlfn.IFS(F5="High", 3, F5="Normal", 5, F5="Low", 10))))</f>
        <v>44242.65347222222</v>
      </c>
      <c r="X5" t="str">
        <f t="shared" si="0"/>
        <v>Yes</v>
      </c>
    </row>
    <row r="6" spans="1:28" ht="12.75" x14ac:dyDescent="0.2">
      <c r="A6" s="3">
        <v>111596</v>
      </c>
      <c r="B6" s="8">
        <v>44218.456944444442</v>
      </c>
      <c r="C6" s="3" t="s">
        <v>205</v>
      </c>
      <c r="D6" s="3" t="s">
        <v>47</v>
      </c>
      <c r="E6" s="3" t="s">
        <v>578</v>
      </c>
      <c r="F6" s="3" t="s">
        <v>28</v>
      </c>
      <c r="G6" s="3" t="s">
        <v>29</v>
      </c>
      <c r="H6" s="3" t="s">
        <v>30</v>
      </c>
      <c r="I6" s="3" t="s">
        <v>31</v>
      </c>
      <c r="J6" s="3" t="s">
        <v>32</v>
      </c>
      <c r="K6" s="8">
        <v>44225.72152777778</v>
      </c>
      <c r="L6" s="8">
        <v>44218.956944444442</v>
      </c>
      <c r="M6" s="3">
        <v>0</v>
      </c>
      <c r="N6" s="3">
        <v>1</v>
      </c>
      <c r="O6" s="3" t="s">
        <v>33</v>
      </c>
      <c r="P6" s="10" t="s">
        <v>576</v>
      </c>
      <c r="Q6" s="3" t="s">
        <v>43</v>
      </c>
      <c r="R6" s="3">
        <v>7</v>
      </c>
      <c r="S6" s="3">
        <v>1</v>
      </c>
      <c r="T6" s="3" t="s">
        <v>35</v>
      </c>
      <c r="U6" s="3" t="s">
        <v>36</v>
      </c>
      <c r="V6" s="3" t="s">
        <v>48</v>
      </c>
      <c r="W6" s="11" cm="1">
        <f t="array" ref="W6">IF(H6="Request","No SLA for Request", IF(F6="Emergency",B6+(4/24), WORKDAY(B6, _xlfn.IFS(F6="High", 3, F6="Normal", 5, F6="Low", 10))))</f>
        <v>44218.623611111107</v>
      </c>
      <c r="X6" t="str">
        <f t="shared" si="0"/>
        <v>Yes</v>
      </c>
    </row>
    <row r="7" spans="1:28" ht="12.75" x14ac:dyDescent="0.2">
      <c r="A7" s="3">
        <v>111491</v>
      </c>
      <c r="B7" s="8">
        <v>44063.4</v>
      </c>
      <c r="C7" s="3" t="s">
        <v>206</v>
      </c>
      <c r="D7" s="3" t="s">
        <v>49</v>
      </c>
      <c r="E7" s="3" t="s">
        <v>50</v>
      </c>
      <c r="F7" s="3" t="s">
        <v>28</v>
      </c>
      <c r="G7" s="3" t="s">
        <v>29</v>
      </c>
      <c r="H7" s="3" t="s">
        <v>30</v>
      </c>
      <c r="I7" s="3" t="s">
        <v>31</v>
      </c>
      <c r="J7" s="3" t="s">
        <v>32</v>
      </c>
      <c r="K7" s="8">
        <v>44211.692361111112</v>
      </c>
      <c r="L7" s="8">
        <v>44063.9</v>
      </c>
      <c r="M7" s="3">
        <v>0</v>
      </c>
      <c r="N7" s="3">
        <v>1</v>
      </c>
      <c r="O7" s="3" t="s">
        <v>33</v>
      </c>
      <c r="P7" s="10" t="s">
        <v>576</v>
      </c>
      <c r="Q7" s="3" t="s">
        <v>34</v>
      </c>
      <c r="R7" s="3">
        <v>11</v>
      </c>
      <c r="S7" s="3">
        <v>1</v>
      </c>
      <c r="T7" s="3" t="s">
        <v>35</v>
      </c>
      <c r="U7" s="3" t="s">
        <v>36</v>
      </c>
      <c r="V7" s="3" t="s">
        <v>48</v>
      </c>
      <c r="W7" s="11" cm="1">
        <f t="array" ref="W7">IF(H7="Request","No SLA for Request", IF(F7="Emergency",B7+(4/24), WORKDAY(B7, _xlfn.IFS(F7="High", 3, F7="Normal", 5, F7="Low", 10))))</f>
        <v>44063.566666666666</v>
      </c>
      <c r="X7" t="str">
        <f t="shared" si="0"/>
        <v>Yes</v>
      </c>
    </row>
    <row r="8" spans="1:28" ht="12.75" x14ac:dyDescent="0.2">
      <c r="A8" s="3">
        <v>111571</v>
      </c>
      <c r="B8" s="8">
        <v>44175.399305555555</v>
      </c>
      <c r="C8" s="3" t="s">
        <v>207</v>
      </c>
      <c r="D8" s="3" t="s">
        <v>49</v>
      </c>
      <c r="E8" s="3" t="s">
        <v>50</v>
      </c>
      <c r="F8" s="3" t="s">
        <v>28</v>
      </c>
      <c r="G8" s="3" t="s">
        <v>29</v>
      </c>
      <c r="H8" s="3" t="s">
        <v>30</v>
      </c>
      <c r="I8" s="3" t="s">
        <v>31</v>
      </c>
      <c r="J8" s="3" t="s">
        <v>32</v>
      </c>
      <c r="K8" s="8">
        <v>44200.742361111108</v>
      </c>
      <c r="L8" s="8">
        <v>44175.899305555555</v>
      </c>
      <c r="M8" s="3">
        <v>0</v>
      </c>
      <c r="N8" s="3">
        <v>1</v>
      </c>
      <c r="O8" s="3" t="s">
        <v>33</v>
      </c>
      <c r="P8" s="10" t="s">
        <v>576</v>
      </c>
      <c r="Q8" s="3" t="s">
        <v>34</v>
      </c>
      <c r="R8" s="3">
        <v>5</v>
      </c>
      <c r="S8" s="3">
        <v>4</v>
      </c>
      <c r="T8" s="3" t="s">
        <v>35</v>
      </c>
      <c r="U8" s="3" t="s">
        <v>36</v>
      </c>
      <c r="V8" s="3" t="s">
        <v>51</v>
      </c>
      <c r="W8" s="11" cm="1">
        <f t="array" ref="W8">IF(H8="Request","No SLA for Request", IF(F8="Emergency",B8+(4/24), WORKDAY(B8, _xlfn.IFS(F8="High", 3, F8="Normal", 5, F8="Low", 10))))</f>
        <v>44175.565972222219</v>
      </c>
      <c r="X8" t="str">
        <f t="shared" si="0"/>
        <v>Yes</v>
      </c>
    </row>
    <row r="9" spans="1:28" ht="12.75" x14ac:dyDescent="0.2">
      <c r="A9" s="3">
        <v>111575</v>
      </c>
      <c r="B9" s="8">
        <v>44175.415972222225</v>
      </c>
      <c r="C9" s="3" t="s">
        <v>208</v>
      </c>
      <c r="D9" s="3" t="s">
        <v>49</v>
      </c>
      <c r="E9" s="3" t="s">
        <v>50</v>
      </c>
      <c r="F9" s="3" t="s">
        <v>28</v>
      </c>
      <c r="G9" s="3" t="s">
        <v>29</v>
      </c>
      <c r="H9" s="3" t="s">
        <v>30</v>
      </c>
      <c r="I9" s="3" t="s">
        <v>31</v>
      </c>
      <c r="J9" s="3" t="s">
        <v>32</v>
      </c>
      <c r="K9" s="8">
        <v>44200.739583333336</v>
      </c>
      <c r="L9" s="8">
        <v>44175.915972222225</v>
      </c>
      <c r="M9" s="3">
        <v>0</v>
      </c>
      <c r="N9" s="3">
        <v>1</v>
      </c>
      <c r="O9" s="3" t="s">
        <v>33</v>
      </c>
      <c r="P9" s="10" t="s">
        <v>576</v>
      </c>
      <c r="Q9" s="3" t="s">
        <v>34</v>
      </c>
      <c r="R9" s="3">
        <v>5</v>
      </c>
      <c r="S9" s="3">
        <v>1</v>
      </c>
      <c r="T9" s="3" t="s">
        <v>35</v>
      </c>
      <c r="U9" s="3" t="s">
        <v>36</v>
      </c>
      <c r="V9" s="3" t="s">
        <v>51</v>
      </c>
      <c r="W9" s="11" cm="1">
        <f t="array" ref="W9">IF(H9="Request","No SLA for Request", IF(F9="Emergency",B9+(4/24), WORKDAY(B9, _xlfn.IFS(F9="High", 3, F9="Normal", 5, F9="Low", 10))))</f>
        <v>44175.582638888889</v>
      </c>
      <c r="X9" t="str">
        <f t="shared" si="0"/>
        <v>Yes</v>
      </c>
    </row>
    <row r="10" spans="1:28" ht="12.75" x14ac:dyDescent="0.2">
      <c r="A10" s="3">
        <v>111576</v>
      </c>
      <c r="B10" s="8">
        <v>44175.419444444444</v>
      </c>
      <c r="C10" s="3" t="s">
        <v>98</v>
      </c>
      <c r="D10" s="3" t="s">
        <v>49</v>
      </c>
      <c r="E10" s="3" t="s">
        <v>50</v>
      </c>
      <c r="F10" s="3" t="s">
        <v>28</v>
      </c>
      <c r="G10" s="3" t="s">
        <v>29</v>
      </c>
      <c r="H10" s="3" t="s">
        <v>30</v>
      </c>
      <c r="I10" s="3" t="s">
        <v>31</v>
      </c>
      <c r="J10" s="3" t="s">
        <v>32</v>
      </c>
      <c r="K10" s="8">
        <v>44200.738888888889</v>
      </c>
      <c r="L10" s="8">
        <v>44175.919444444444</v>
      </c>
      <c r="M10" s="3">
        <v>0</v>
      </c>
      <c r="N10" s="3">
        <v>1</v>
      </c>
      <c r="O10" s="3" t="s">
        <v>33</v>
      </c>
      <c r="P10" s="10" t="s">
        <v>576</v>
      </c>
      <c r="Q10" s="3" t="s">
        <v>34</v>
      </c>
      <c r="R10" s="3">
        <v>5</v>
      </c>
      <c r="S10" s="3">
        <v>1</v>
      </c>
      <c r="T10" s="3" t="s">
        <v>35</v>
      </c>
      <c r="U10" s="3" t="s">
        <v>36</v>
      </c>
      <c r="V10" s="3" t="s">
        <v>51</v>
      </c>
      <c r="W10" s="11" cm="1">
        <f t="array" ref="W10">IF(H10="Request","No SLA for Request", IF(F10="Emergency",B10+(4/24), WORKDAY(B10, _xlfn.IFS(F10="High", 3, F10="Normal", 5, F10="Low", 10))))</f>
        <v>44175.586111111108</v>
      </c>
      <c r="X10" t="str">
        <f t="shared" si="0"/>
        <v>Yes</v>
      </c>
    </row>
    <row r="11" spans="1:28" ht="12.75" x14ac:dyDescent="0.2">
      <c r="A11" s="3">
        <v>111581</v>
      </c>
      <c r="B11" s="8">
        <v>44183.428472222222</v>
      </c>
      <c r="C11" s="3" t="s">
        <v>579</v>
      </c>
      <c r="D11" s="3" t="s">
        <v>52</v>
      </c>
      <c r="E11" s="3" t="s">
        <v>580</v>
      </c>
      <c r="F11" s="3" t="s">
        <v>28</v>
      </c>
      <c r="G11" s="3" t="s">
        <v>29</v>
      </c>
      <c r="H11" s="3" t="s">
        <v>53</v>
      </c>
      <c r="I11" s="3" t="s">
        <v>31</v>
      </c>
      <c r="J11" s="3" t="s">
        <v>32</v>
      </c>
      <c r="K11" s="8">
        <v>44200.501388888886</v>
      </c>
      <c r="L11" s="8">
        <v>44183.928472222222</v>
      </c>
      <c r="M11" s="3">
        <v>0</v>
      </c>
      <c r="N11" s="3">
        <v>1</v>
      </c>
      <c r="O11" s="3" t="s">
        <v>33</v>
      </c>
      <c r="P11" s="10" t="s">
        <v>576</v>
      </c>
      <c r="Q11" s="3" t="s">
        <v>43</v>
      </c>
      <c r="R11" s="3">
        <v>9</v>
      </c>
      <c r="S11" s="3">
        <v>2</v>
      </c>
      <c r="T11" s="3" t="s">
        <v>54</v>
      </c>
      <c r="U11" s="3" t="s">
        <v>55</v>
      </c>
      <c r="V11" s="3" t="s">
        <v>48</v>
      </c>
      <c r="W11" s="11" t="str" cm="1">
        <f t="array" ref="W11">IF(H11="Request","No SLA for Request", IF(F11="Emergency",B11+(4/24), WORKDAY(B11, _xlfn.IFS(F11="High", 3, F11="Normal", 5, F11="Low", 10))))</f>
        <v>No SLA for Request</v>
      </c>
      <c r="X11" t="str">
        <f t="shared" si="0"/>
        <v>N/A</v>
      </c>
    </row>
    <row r="12" spans="1:28" ht="12.75" x14ac:dyDescent="0.2">
      <c r="A12" s="3">
        <v>111586</v>
      </c>
      <c r="B12" s="8">
        <v>44188.636805555558</v>
      </c>
      <c r="C12" s="3" t="s">
        <v>209</v>
      </c>
      <c r="D12" s="3" t="s">
        <v>56</v>
      </c>
      <c r="E12" s="3" t="s">
        <v>57</v>
      </c>
      <c r="F12" s="3" t="s">
        <v>28</v>
      </c>
      <c r="G12" s="3" t="s">
        <v>29</v>
      </c>
      <c r="H12" s="3" t="s">
        <v>53</v>
      </c>
      <c r="I12" s="3" t="s">
        <v>31</v>
      </c>
      <c r="J12" s="3" t="s">
        <v>32</v>
      </c>
      <c r="K12" s="8">
        <v>44193.734027777777</v>
      </c>
      <c r="L12" s="8">
        <v>44189.136805555558</v>
      </c>
      <c r="M12" s="3">
        <v>0</v>
      </c>
      <c r="N12" s="3">
        <v>1</v>
      </c>
      <c r="O12" s="3" t="s">
        <v>33</v>
      </c>
      <c r="P12" s="10" t="s">
        <v>576</v>
      </c>
      <c r="Q12" s="3" t="s">
        <v>43</v>
      </c>
      <c r="R12" s="3">
        <v>7</v>
      </c>
      <c r="S12" s="3">
        <v>0</v>
      </c>
      <c r="T12" s="3" t="s">
        <v>35</v>
      </c>
      <c r="U12" s="3" t="s">
        <v>36</v>
      </c>
      <c r="V12" s="3" t="s">
        <v>48</v>
      </c>
      <c r="W12" s="11" t="str" cm="1">
        <f t="array" ref="W12">IF(H12="Request","No SLA for Request", IF(F12="Emergency",B12+(4/24), WORKDAY(B12, _xlfn.IFS(F12="High", 3, F12="Normal", 5, F12="Low", 10))))</f>
        <v>No SLA for Request</v>
      </c>
      <c r="X12" t="str">
        <f t="shared" si="0"/>
        <v>N/A</v>
      </c>
    </row>
    <row r="13" spans="1:28" ht="12.75" x14ac:dyDescent="0.2">
      <c r="A13" s="3">
        <v>111564</v>
      </c>
      <c r="B13" s="8">
        <v>44160.660416666666</v>
      </c>
      <c r="C13" s="3" t="s">
        <v>207</v>
      </c>
      <c r="D13" s="3" t="s">
        <v>49</v>
      </c>
      <c r="E13" s="3" t="s">
        <v>50</v>
      </c>
      <c r="F13" s="3" t="s">
        <v>28</v>
      </c>
      <c r="G13" s="3" t="s">
        <v>29</v>
      </c>
      <c r="H13" s="3" t="s">
        <v>30</v>
      </c>
      <c r="I13" s="3" t="s">
        <v>31</v>
      </c>
      <c r="J13" s="3" t="s">
        <v>32</v>
      </c>
      <c r="K13" s="8">
        <v>44175.71875</v>
      </c>
      <c r="L13" s="8">
        <v>44161.160416666666</v>
      </c>
      <c r="M13" s="3">
        <v>0</v>
      </c>
      <c r="N13" s="3">
        <v>1</v>
      </c>
      <c r="O13" s="3" t="s">
        <v>58</v>
      </c>
      <c r="P13" s="10" t="s">
        <v>576</v>
      </c>
      <c r="Q13" s="3" t="s">
        <v>34</v>
      </c>
      <c r="R13" s="3">
        <v>5</v>
      </c>
      <c r="S13" s="3">
        <v>1</v>
      </c>
      <c r="T13" s="3" t="s">
        <v>35</v>
      </c>
      <c r="U13" s="3" t="s">
        <v>36</v>
      </c>
      <c r="V13" s="3" t="s">
        <v>37</v>
      </c>
      <c r="W13" s="11" cm="1">
        <f t="array" ref="W13">IF(H13="Request","No SLA for Request", IF(F13="Emergency",B13+(4/24), WORKDAY(B13, _xlfn.IFS(F13="High", 3, F13="Normal", 5, F13="Low", 10))))</f>
        <v>44160.82708333333</v>
      </c>
      <c r="X13" t="str">
        <f t="shared" si="0"/>
        <v>Yes</v>
      </c>
    </row>
    <row r="14" spans="1:28" ht="12.75" x14ac:dyDescent="0.2">
      <c r="A14" s="3">
        <v>111550</v>
      </c>
      <c r="B14" s="8">
        <v>44145.450694444444</v>
      </c>
      <c r="C14" s="3" t="s">
        <v>210</v>
      </c>
      <c r="D14" s="3" t="s">
        <v>47</v>
      </c>
      <c r="E14" s="3" t="s">
        <v>578</v>
      </c>
      <c r="F14" s="3" t="s">
        <v>28</v>
      </c>
      <c r="G14" s="3" t="s">
        <v>29</v>
      </c>
      <c r="H14" s="3" t="s">
        <v>30</v>
      </c>
      <c r="I14" s="3" t="s">
        <v>31</v>
      </c>
      <c r="J14" s="3" t="s">
        <v>32</v>
      </c>
      <c r="K14" s="8">
        <v>44151.624305555553</v>
      </c>
      <c r="L14" s="8">
        <v>44145.950694444444</v>
      </c>
      <c r="M14" s="3">
        <v>0</v>
      </c>
      <c r="N14" s="3">
        <v>1</v>
      </c>
      <c r="O14" s="3" t="s">
        <v>33</v>
      </c>
      <c r="P14" s="10" t="s">
        <v>576</v>
      </c>
      <c r="Q14" s="3" t="s">
        <v>43</v>
      </c>
      <c r="R14" s="3">
        <v>8</v>
      </c>
      <c r="S14" s="3">
        <v>1</v>
      </c>
      <c r="T14" s="3" t="s">
        <v>35</v>
      </c>
      <c r="U14" s="3" t="s">
        <v>36</v>
      </c>
      <c r="V14" s="3" t="s">
        <v>48</v>
      </c>
      <c r="W14" s="11" cm="1">
        <f t="array" ref="W14">IF(H14="Request","No SLA for Request", IF(F14="Emergency",B14+(4/24), WORKDAY(B14, _xlfn.IFS(F14="High", 3, F14="Normal", 5, F14="Low", 10))))</f>
        <v>44145.617361111108</v>
      </c>
      <c r="X14" t="str">
        <f t="shared" si="0"/>
        <v>Yes</v>
      </c>
    </row>
    <row r="15" spans="1:28" ht="12.75" x14ac:dyDescent="0.2">
      <c r="A15" s="3">
        <v>111530</v>
      </c>
      <c r="B15" s="8">
        <v>44112.728472222225</v>
      </c>
      <c r="C15" s="3" t="s">
        <v>59</v>
      </c>
      <c r="D15" s="3" t="s">
        <v>52</v>
      </c>
      <c r="E15" s="3" t="s">
        <v>580</v>
      </c>
      <c r="F15" s="3" t="s">
        <v>28</v>
      </c>
      <c r="G15" s="3" t="s">
        <v>29</v>
      </c>
      <c r="H15" s="3" t="s">
        <v>53</v>
      </c>
      <c r="I15" s="3" t="s">
        <v>31</v>
      </c>
      <c r="J15" s="3" t="s">
        <v>32</v>
      </c>
      <c r="K15" s="8">
        <v>44120.579861111109</v>
      </c>
      <c r="L15" s="8">
        <v>44113.228472222225</v>
      </c>
      <c r="M15" s="3">
        <v>0</v>
      </c>
      <c r="N15" s="3">
        <v>1</v>
      </c>
      <c r="O15" s="3" t="s">
        <v>33</v>
      </c>
      <c r="P15" s="10" t="s">
        <v>576</v>
      </c>
      <c r="Q15" s="3" t="s">
        <v>43</v>
      </c>
      <c r="R15" s="3">
        <v>13</v>
      </c>
      <c r="S15" s="3">
        <v>1</v>
      </c>
      <c r="T15" s="3" t="s">
        <v>54</v>
      </c>
      <c r="U15" s="3" t="s">
        <v>55</v>
      </c>
      <c r="V15" s="3" t="s">
        <v>48</v>
      </c>
      <c r="W15" s="11" t="str" cm="1">
        <f t="array" ref="W15">IF(H15="Request","No SLA for Request", IF(F15="Emergency",B15+(4/24), WORKDAY(B15, _xlfn.IFS(F15="High", 3, F15="Normal", 5, F15="Low", 10))))</f>
        <v>No SLA for Request</v>
      </c>
      <c r="X15" t="str">
        <f t="shared" si="0"/>
        <v>N/A</v>
      </c>
    </row>
    <row r="16" spans="1:28" ht="12.75" x14ac:dyDescent="0.2">
      <c r="A16" s="3">
        <v>111511</v>
      </c>
      <c r="B16" s="8">
        <v>44102.620138888888</v>
      </c>
      <c r="C16" s="3" t="s">
        <v>211</v>
      </c>
      <c r="D16" s="3" t="s">
        <v>60</v>
      </c>
      <c r="E16" s="3" t="s">
        <v>581</v>
      </c>
      <c r="F16" s="3" t="s">
        <v>28</v>
      </c>
      <c r="G16" s="3" t="s">
        <v>577</v>
      </c>
      <c r="H16" s="3" t="s">
        <v>53</v>
      </c>
      <c r="I16" s="3" t="s">
        <v>61</v>
      </c>
      <c r="J16" s="3" t="s">
        <v>32</v>
      </c>
      <c r="K16" s="8">
        <v>44111.581250000003</v>
      </c>
      <c r="L16" s="8">
        <v>44102.786805555559</v>
      </c>
      <c r="M16" s="3">
        <v>0</v>
      </c>
      <c r="N16" s="3">
        <v>1</v>
      </c>
      <c r="O16" s="3" t="s">
        <v>33</v>
      </c>
      <c r="P16" s="10" t="s">
        <v>576</v>
      </c>
      <c r="Q16" s="3" t="s">
        <v>46</v>
      </c>
      <c r="R16" s="3">
        <v>5</v>
      </c>
      <c r="S16" s="3">
        <v>0</v>
      </c>
      <c r="T16" s="3" t="s">
        <v>35</v>
      </c>
      <c r="U16" s="3" t="s">
        <v>62</v>
      </c>
      <c r="V16" s="3" t="s">
        <v>37</v>
      </c>
      <c r="W16" s="11" t="str" cm="1">
        <f t="array" ref="W16">IF(H16="Request","No SLA for Request", IF(F16="Emergency",B16+(4/24), WORKDAY(B16, _xlfn.IFS(F16="High", 3, F16="Normal", 5, F16="Low", 10))))</f>
        <v>No SLA for Request</v>
      </c>
      <c r="X16" t="str">
        <f t="shared" si="0"/>
        <v>N/A</v>
      </c>
    </row>
    <row r="17" spans="1:24" ht="12.75" x14ac:dyDescent="0.2">
      <c r="A17" s="3">
        <v>111493</v>
      </c>
      <c r="B17" s="8">
        <v>44066.48541666667</v>
      </c>
      <c r="C17" s="9" t="s">
        <v>575</v>
      </c>
      <c r="D17" s="3" t="s">
        <v>56</v>
      </c>
      <c r="E17" s="3" t="s">
        <v>57</v>
      </c>
      <c r="F17" s="3" t="s">
        <v>28</v>
      </c>
      <c r="G17" s="3" t="s">
        <v>29</v>
      </c>
      <c r="H17" s="3" t="s">
        <v>30</v>
      </c>
      <c r="I17" s="3" t="s">
        <v>31</v>
      </c>
      <c r="J17" s="3" t="s">
        <v>32</v>
      </c>
      <c r="K17" s="8">
        <v>44071.713888888888</v>
      </c>
      <c r="L17" s="8">
        <v>44066.98541666667</v>
      </c>
      <c r="M17" s="3">
        <v>0</v>
      </c>
      <c r="N17" s="3">
        <v>1</v>
      </c>
      <c r="O17" s="3" t="s">
        <v>33</v>
      </c>
      <c r="P17" s="10" t="s">
        <v>576</v>
      </c>
      <c r="Q17" s="3" t="s">
        <v>43</v>
      </c>
      <c r="R17" s="3">
        <v>12</v>
      </c>
      <c r="S17" s="3">
        <v>3</v>
      </c>
      <c r="T17" s="3" t="s">
        <v>35</v>
      </c>
      <c r="U17" s="3" t="s">
        <v>36</v>
      </c>
      <c r="V17" s="3" t="s">
        <v>37</v>
      </c>
      <c r="W17" s="11" cm="1">
        <f t="array" ref="W17">IF(H17="Request","No SLA for Request", IF(F17="Emergency",B17+(4/24), WORKDAY(B17, _xlfn.IFS(F17="High", 3, F17="Normal", 5, F17="Low", 10))))</f>
        <v>44066.652083333334</v>
      </c>
      <c r="X17" t="str">
        <f t="shared" si="0"/>
        <v>Yes</v>
      </c>
    </row>
    <row r="18" spans="1:24" ht="12.75" x14ac:dyDescent="0.2">
      <c r="A18" s="3">
        <v>111487</v>
      </c>
      <c r="B18" s="8">
        <v>44058.52847222222</v>
      </c>
      <c r="C18" s="3" t="s">
        <v>212</v>
      </c>
      <c r="D18" s="3" t="s">
        <v>63</v>
      </c>
      <c r="E18" s="3" t="s">
        <v>64</v>
      </c>
      <c r="F18" s="3" t="s">
        <v>28</v>
      </c>
      <c r="G18" s="3" t="s">
        <v>29</v>
      </c>
      <c r="H18" s="3" t="s">
        <v>30</v>
      </c>
      <c r="I18" s="3" t="s">
        <v>31</v>
      </c>
      <c r="J18" s="3" t="s">
        <v>32</v>
      </c>
      <c r="K18" s="8">
        <v>44067.760416666664</v>
      </c>
      <c r="L18" s="8">
        <v>44059.02847222222</v>
      </c>
      <c r="M18" s="3">
        <v>0</v>
      </c>
      <c r="N18" s="3">
        <v>1</v>
      </c>
      <c r="O18" s="3" t="s">
        <v>33</v>
      </c>
      <c r="P18" s="10" t="s">
        <v>576</v>
      </c>
      <c r="Q18" s="3" t="s">
        <v>34</v>
      </c>
      <c r="R18" s="3">
        <v>8</v>
      </c>
      <c r="S18" s="3">
        <v>1</v>
      </c>
      <c r="T18" s="3" t="s">
        <v>35</v>
      </c>
      <c r="U18" s="3" t="s">
        <v>36</v>
      </c>
      <c r="V18" s="3" t="s">
        <v>37</v>
      </c>
      <c r="W18" s="11" cm="1">
        <f t="array" ref="W18">IF(H18="Request","No SLA for Request", IF(F18="Emergency",B18+(4/24), WORKDAY(B18, _xlfn.IFS(F18="High", 3, F18="Normal", 5, F18="Low", 10))))</f>
        <v>44058.695138888885</v>
      </c>
      <c r="X18" t="str">
        <f t="shared" si="0"/>
        <v>Yes</v>
      </c>
    </row>
    <row r="19" spans="1:24" ht="12.75" x14ac:dyDescent="0.2">
      <c r="A19" s="3">
        <v>111479</v>
      </c>
      <c r="B19" s="8">
        <v>44050.572222222225</v>
      </c>
      <c r="C19" s="3" t="s">
        <v>213</v>
      </c>
      <c r="D19" s="3" t="s">
        <v>44</v>
      </c>
      <c r="E19" s="3" t="s">
        <v>45</v>
      </c>
      <c r="F19" s="3" t="s">
        <v>28</v>
      </c>
      <c r="G19" s="3" t="s">
        <v>577</v>
      </c>
      <c r="H19" s="3" t="s">
        <v>30</v>
      </c>
      <c r="I19" s="3" t="s">
        <v>31</v>
      </c>
      <c r="J19" s="3" t="s">
        <v>32</v>
      </c>
      <c r="K19" s="8">
        <v>44061.714583333334</v>
      </c>
      <c r="L19" s="8">
        <v>44051.072222222225</v>
      </c>
      <c r="M19" s="3">
        <v>0</v>
      </c>
      <c r="N19" s="3">
        <v>1</v>
      </c>
      <c r="O19" s="3" t="s">
        <v>33</v>
      </c>
      <c r="P19" s="10" t="s">
        <v>576</v>
      </c>
      <c r="Q19" s="3" t="s">
        <v>46</v>
      </c>
      <c r="R19" s="3">
        <v>4</v>
      </c>
      <c r="S19" s="3">
        <v>1</v>
      </c>
      <c r="T19" s="3" t="s">
        <v>35</v>
      </c>
      <c r="U19" s="3" t="s">
        <v>62</v>
      </c>
      <c r="V19" s="3" t="s">
        <v>37</v>
      </c>
      <c r="W19" s="11" cm="1">
        <f t="array" ref="W19">IF(H19="Request","No SLA for Request", IF(F19="Emergency",B19+(4/24), WORKDAY(B19, _xlfn.IFS(F19="High", 3, F19="Normal", 5, F19="Low", 10))))</f>
        <v>44050.738888888889</v>
      </c>
      <c r="X19" t="str">
        <f t="shared" si="0"/>
        <v>Yes</v>
      </c>
    </row>
    <row r="20" spans="1:24" ht="12.75" x14ac:dyDescent="0.2">
      <c r="A20" s="3">
        <v>111451</v>
      </c>
      <c r="B20" s="8">
        <v>44013.383333333331</v>
      </c>
      <c r="C20" s="3" t="s">
        <v>65</v>
      </c>
      <c r="D20" s="3" t="s">
        <v>66</v>
      </c>
      <c r="E20" s="3" t="s">
        <v>67</v>
      </c>
      <c r="F20" s="3" t="s">
        <v>28</v>
      </c>
      <c r="G20" s="3" t="s">
        <v>577</v>
      </c>
      <c r="H20" s="3" t="s">
        <v>30</v>
      </c>
      <c r="I20" s="3" t="s">
        <v>68</v>
      </c>
      <c r="J20" s="3" t="s">
        <v>32</v>
      </c>
      <c r="K20" s="8">
        <v>44021.636111111111</v>
      </c>
      <c r="L20" s="8">
        <v>44014.708333333336</v>
      </c>
      <c r="M20" s="3">
        <v>0</v>
      </c>
      <c r="N20" s="3">
        <v>1</v>
      </c>
      <c r="O20" s="3" t="s">
        <v>33</v>
      </c>
      <c r="P20" s="10" t="s">
        <v>576</v>
      </c>
      <c r="Q20" s="3" t="s">
        <v>46</v>
      </c>
      <c r="R20" s="3">
        <v>4</v>
      </c>
      <c r="S20" s="3">
        <v>0</v>
      </c>
      <c r="T20" s="3" t="s">
        <v>54</v>
      </c>
      <c r="U20" s="9" t="s">
        <v>62</v>
      </c>
      <c r="V20" s="3" t="s">
        <v>37</v>
      </c>
      <c r="W20" s="11" cm="1">
        <f t="array" ref="W20">IF(H20="Request","No SLA for Request", IF(F20="Emergency",B20+(4/24), WORKDAY(B20, _xlfn.IFS(F20="High", 3, F20="Normal", 5, F20="Low", 10))))</f>
        <v>44013.549999999996</v>
      </c>
      <c r="X20" t="str">
        <f t="shared" si="0"/>
        <v>Yes</v>
      </c>
    </row>
    <row r="21" spans="1:24" ht="12.75" x14ac:dyDescent="0.2">
      <c r="A21" s="3">
        <v>111430</v>
      </c>
      <c r="B21" s="8">
        <v>43984.43472222222</v>
      </c>
      <c r="C21" s="3" t="s">
        <v>214</v>
      </c>
      <c r="D21" s="3" t="s">
        <v>49</v>
      </c>
      <c r="E21" s="3" t="s">
        <v>50</v>
      </c>
      <c r="F21" s="3" t="s">
        <v>28</v>
      </c>
      <c r="G21" s="3" t="s">
        <v>29</v>
      </c>
      <c r="H21" s="3" t="s">
        <v>30</v>
      </c>
      <c r="I21" s="3" t="s">
        <v>31</v>
      </c>
      <c r="J21" s="3" t="s">
        <v>32</v>
      </c>
      <c r="K21" s="8">
        <v>43998.740972222222</v>
      </c>
      <c r="L21" s="12" t="s">
        <v>576</v>
      </c>
      <c r="M21" s="3">
        <v>0</v>
      </c>
      <c r="N21" s="3">
        <v>1</v>
      </c>
      <c r="O21" s="3" t="s">
        <v>33</v>
      </c>
      <c r="P21" s="10" t="s">
        <v>576</v>
      </c>
      <c r="Q21" s="3" t="s">
        <v>34</v>
      </c>
      <c r="R21" s="3">
        <v>11</v>
      </c>
      <c r="S21" s="3">
        <v>2</v>
      </c>
      <c r="T21" s="3" t="s">
        <v>35</v>
      </c>
      <c r="U21" s="3" t="s">
        <v>36</v>
      </c>
      <c r="V21" s="3" t="s">
        <v>48</v>
      </c>
      <c r="W21" s="11" cm="1">
        <f t="array" ref="W21">IF(H21="Request","No SLA for Request", IF(F21="Emergency",B21+(4/24), WORKDAY(B21, _xlfn.IFS(F21="High", 3, F21="Normal", 5, F21="Low", 10))))</f>
        <v>43984.601388888885</v>
      </c>
      <c r="X21" t="str">
        <f t="shared" si="0"/>
        <v>Yes</v>
      </c>
    </row>
    <row r="22" spans="1:24" ht="12.75" x14ac:dyDescent="0.2">
      <c r="A22" s="3">
        <v>111424</v>
      </c>
      <c r="B22" s="8">
        <v>43978.393055555556</v>
      </c>
      <c r="C22" s="3" t="s">
        <v>215</v>
      </c>
      <c r="D22" s="3" t="s">
        <v>49</v>
      </c>
      <c r="E22" s="3" t="s">
        <v>50</v>
      </c>
      <c r="F22" s="3" t="s">
        <v>28</v>
      </c>
      <c r="G22" s="3" t="s">
        <v>29</v>
      </c>
      <c r="H22" s="3" t="s">
        <v>30</v>
      </c>
      <c r="I22" s="3" t="s">
        <v>31</v>
      </c>
      <c r="J22" s="3" t="s">
        <v>32</v>
      </c>
      <c r="K22" s="8">
        <v>43992.725694444445</v>
      </c>
      <c r="L22" s="12" t="s">
        <v>576</v>
      </c>
      <c r="M22" s="3">
        <v>0</v>
      </c>
      <c r="N22" s="3">
        <v>1</v>
      </c>
      <c r="O22" s="3" t="s">
        <v>33</v>
      </c>
      <c r="P22" s="10" t="s">
        <v>576</v>
      </c>
      <c r="Q22" s="3" t="s">
        <v>34</v>
      </c>
      <c r="R22" s="3">
        <v>12</v>
      </c>
      <c r="S22" s="3">
        <v>20</v>
      </c>
      <c r="T22" s="3" t="s">
        <v>35</v>
      </c>
      <c r="U22" s="3" t="s">
        <v>36</v>
      </c>
      <c r="V22" s="3" t="s">
        <v>37</v>
      </c>
      <c r="W22" s="11" cm="1">
        <f t="array" ref="W22">IF(H22="Request","No SLA for Request", IF(F22="Emergency",B22+(4/24), WORKDAY(B22, _xlfn.IFS(F22="High", 3, F22="Normal", 5, F22="Low", 10))))</f>
        <v>43978.55972222222</v>
      </c>
      <c r="X22" t="str">
        <f t="shared" si="0"/>
        <v>Yes</v>
      </c>
    </row>
    <row r="23" spans="1:24" ht="12.75" x14ac:dyDescent="0.2">
      <c r="A23" s="3">
        <v>111416</v>
      </c>
      <c r="B23" s="8">
        <v>43948.39166666667</v>
      </c>
      <c r="C23" s="3" t="s">
        <v>69</v>
      </c>
      <c r="D23" s="3" t="s">
        <v>49</v>
      </c>
      <c r="E23" s="3" t="s">
        <v>50</v>
      </c>
      <c r="F23" s="3" t="s">
        <v>28</v>
      </c>
      <c r="G23" s="3" t="s">
        <v>29</v>
      </c>
      <c r="H23" s="3" t="s">
        <v>30</v>
      </c>
      <c r="I23" s="3" t="s">
        <v>31</v>
      </c>
      <c r="J23" s="3" t="s">
        <v>32</v>
      </c>
      <c r="K23" s="8">
        <v>43955.716666666667</v>
      </c>
      <c r="L23" s="12" t="s">
        <v>576</v>
      </c>
      <c r="M23" s="3">
        <v>0</v>
      </c>
      <c r="N23" s="3">
        <v>1</v>
      </c>
      <c r="O23" s="3" t="s">
        <v>33</v>
      </c>
      <c r="P23" s="10" t="s">
        <v>576</v>
      </c>
      <c r="Q23" s="3" t="s">
        <v>34</v>
      </c>
      <c r="R23" s="3">
        <v>5</v>
      </c>
      <c r="S23" s="3">
        <v>2</v>
      </c>
      <c r="T23" s="3" t="s">
        <v>35</v>
      </c>
      <c r="U23" s="3" t="s">
        <v>36</v>
      </c>
      <c r="V23" s="3" t="s">
        <v>37</v>
      </c>
      <c r="W23" s="11" cm="1">
        <f t="array" ref="W23">IF(H23="Request","No SLA for Request", IF(F23="Emergency",B23+(4/24), WORKDAY(B23, _xlfn.IFS(F23="High", 3, F23="Normal", 5, F23="Low", 10))))</f>
        <v>43948.558333333334</v>
      </c>
      <c r="X23" t="str">
        <f t="shared" si="0"/>
        <v>Yes</v>
      </c>
    </row>
    <row r="24" spans="1:24" ht="12.75" x14ac:dyDescent="0.2">
      <c r="A24" s="3">
        <v>111403</v>
      </c>
      <c r="B24" s="8">
        <v>43913.4</v>
      </c>
      <c r="C24" s="3" t="s">
        <v>582</v>
      </c>
      <c r="D24" s="3" t="s">
        <v>70</v>
      </c>
      <c r="E24" s="3" t="s">
        <v>71</v>
      </c>
      <c r="F24" s="3" t="s">
        <v>28</v>
      </c>
      <c r="G24" s="3" t="s">
        <v>29</v>
      </c>
      <c r="H24" s="3" t="s">
        <v>30</v>
      </c>
      <c r="I24" s="3" t="s">
        <v>31</v>
      </c>
      <c r="J24" s="3" t="s">
        <v>32</v>
      </c>
      <c r="K24" s="8">
        <v>43916.777777777781</v>
      </c>
      <c r="L24" s="12" t="s">
        <v>576</v>
      </c>
      <c r="M24" s="3">
        <v>0</v>
      </c>
      <c r="N24" s="3">
        <v>1</v>
      </c>
      <c r="O24" s="3" t="s">
        <v>33</v>
      </c>
      <c r="P24" s="10" t="s">
        <v>576</v>
      </c>
      <c r="Q24" s="3" t="s">
        <v>43</v>
      </c>
      <c r="R24" s="3">
        <v>7</v>
      </c>
      <c r="S24" s="3">
        <v>2</v>
      </c>
      <c r="T24" s="3" t="s">
        <v>35</v>
      </c>
      <c r="U24" s="3" t="s">
        <v>62</v>
      </c>
      <c r="V24" s="3" t="s">
        <v>37</v>
      </c>
      <c r="W24" s="11" cm="1">
        <f t="array" ref="W24">IF(H24="Request","No SLA for Request", IF(F24="Emergency",B24+(4/24), WORKDAY(B24, _xlfn.IFS(F24="High", 3, F24="Normal", 5, F24="Low", 10))))</f>
        <v>43913.566666666666</v>
      </c>
      <c r="X24" t="str">
        <f t="shared" si="0"/>
        <v>Yes</v>
      </c>
    </row>
    <row r="25" spans="1:24" ht="12.75" x14ac:dyDescent="0.2">
      <c r="A25" s="3">
        <v>111387</v>
      </c>
      <c r="B25" s="8">
        <v>43874.384027777778</v>
      </c>
      <c r="C25" s="3" t="s">
        <v>216</v>
      </c>
      <c r="D25" s="3" t="s">
        <v>70</v>
      </c>
      <c r="E25" s="3" t="s">
        <v>71</v>
      </c>
      <c r="F25" s="3" t="s">
        <v>28</v>
      </c>
      <c r="G25" s="3" t="s">
        <v>29</v>
      </c>
      <c r="H25" s="3" t="s">
        <v>30</v>
      </c>
      <c r="I25" s="3" t="s">
        <v>31</v>
      </c>
      <c r="J25" s="3" t="s">
        <v>32</v>
      </c>
      <c r="K25" s="8">
        <v>43879.585416666669</v>
      </c>
      <c r="L25" s="12" t="s">
        <v>576</v>
      </c>
      <c r="M25" s="3">
        <v>0</v>
      </c>
      <c r="N25" s="3">
        <v>1</v>
      </c>
      <c r="O25" s="3" t="s">
        <v>33</v>
      </c>
      <c r="P25" s="10" t="s">
        <v>576</v>
      </c>
      <c r="Q25" s="3" t="s">
        <v>43</v>
      </c>
      <c r="R25" s="3">
        <v>10</v>
      </c>
      <c r="S25" s="3">
        <v>7</v>
      </c>
      <c r="T25" s="3" t="s">
        <v>35</v>
      </c>
      <c r="U25" s="3" t="s">
        <v>62</v>
      </c>
      <c r="V25" s="3" t="s">
        <v>37</v>
      </c>
      <c r="W25" s="11" cm="1">
        <f t="array" ref="W25">IF(H25="Request","No SLA for Request", IF(F25="Emergency",B25+(4/24), WORKDAY(B25, _xlfn.IFS(F25="High", 3, F25="Normal", 5, F25="Low", 10))))</f>
        <v>43874.550694444442</v>
      </c>
      <c r="X25" t="str">
        <f t="shared" si="0"/>
        <v>Yes</v>
      </c>
    </row>
    <row r="26" spans="1:24" ht="12.75" x14ac:dyDescent="0.2">
      <c r="A26" s="3">
        <v>111384</v>
      </c>
      <c r="B26" s="8">
        <v>43871.46597222222</v>
      </c>
      <c r="C26" s="3" t="s">
        <v>583</v>
      </c>
      <c r="D26" s="3" t="s">
        <v>49</v>
      </c>
      <c r="E26" s="3" t="s">
        <v>50</v>
      </c>
      <c r="F26" s="3" t="s">
        <v>28</v>
      </c>
      <c r="G26" s="3" t="s">
        <v>29</v>
      </c>
      <c r="H26" s="3" t="s">
        <v>30</v>
      </c>
      <c r="I26" s="3" t="s">
        <v>31</v>
      </c>
      <c r="J26" s="3" t="s">
        <v>32</v>
      </c>
      <c r="K26" s="8">
        <v>43872.655555555553</v>
      </c>
      <c r="L26" s="12" t="s">
        <v>576</v>
      </c>
      <c r="M26" s="3">
        <v>0</v>
      </c>
      <c r="N26" s="3">
        <v>1</v>
      </c>
      <c r="O26" s="3" t="s">
        <v>33</v>
      </c>
      <c r="P26" s="10" t="s">
        <v>576</v>
      </c>
      <c r="Q26" s="3" t="s">
        <v>72</v>
      </c>
      <c r="R26" s="3">
        <v>5</v>
      </c>
      <c r="S26" s="3">
        <v>2</v>
      </c>
      <c r="T26" s="3" t="s">
        <v>35</v>
      </c>
      <c r="U26" s="3" t="s">
        <v>36</v>
      </c>
      <c r="V26" s="3" t="s">
        <v>48</v>
      </c>
      <c r="W26" s="11" cm="1">
        <f t="array" ref="W26">IF(H26="Request","No SLA for Request", IF(F26="Emergency",B26+(4/24), WORKDAY(B26, _xlfn.IFS(F26="High", 3, F26="Normal", 5, F26="Low", 10))))</f>
        <v>43871.632638888885</v>
      </c>
      <c r="X26" t="str">
        <f t="shared" si="0"/>
        <v>Yes</v>
      </c>
    </row>
    <row r="27" spans="1:24" ht="12.75" x14ac:dyDescent="0.2">
      <c r="A27" s="3">
        <v>111366</v>
      </c>
      <c r="B27" s="8">
        <v>43833.584722222222</v>
      </c>
      <c r="C27" s="3" t="s">
        <v>217</v>
      </c>
      <c r="D27" s="3" t="s">
        <v>63</v>
      </c>
      <c r="E27" s="3" t="s">
        <v>64</v>
      </c>
      <c r="F27" s="3" t="s">
        <v>28</v>
      </c>
      <c r="G27" s="3" t="s">
        <v>29</v>
      </c>
      <c r="H27" s="3" t="s">
        <v>30</v>
      </c>
      <c r="I27" s="3" t="s">
        <v>31</v>
      </c>
      <c r="J27" s="3" t="s">
        <v>32</v>
      </c>
      <c r="K27" s="8">
        <v>43844.732638888891</v>
      </c>
      <c r="L27" s="12" t="s">
        <v>576</v>
      </c>
      <c r="M27" s="3">
        <v>0</v>
      </c>
      <c r="N27" s="3">
        <v>1</v>
      </c>
      <c r="O27" s="3" t="s">
        <v>33</v>
      </c>
      <c r="P27" s="10" t="s">
        <v>576</v>
      </c>
      <c r="Q27" s="3" t="s">
        <v>34</v>
      </c>
      <c r="R27" s="3">
        <v>10</v>
      </c>
      <c r="S27" s="3">
        <v>2</v>
      </c>
      <c r="T27" s="3" t="s">
        <v>35</v>
      </c>
      <c r="U27" s="3" t="s">
        <v>62</v>
      </c>
      <c r="V27" s="3" t="s">
        <v>37</v>
      </c>
      <c r="W27" s="11" cm="1">
        <f t="array" ref="W27">IF(H27="Request","No SLA for Request", IF(F27="Emergency",B27+(4/24), WORKDAY(B27, _xlfn.IFS(F27="High", 3, F27="Normal", 5, F27="Low", 10))))</f>
        <v>43833.751388888886</v>
      </c>
      <c r="X27" t="str">
        <f t="shared" si="0"/>
        <v>Yes</v>
      </c>
    </row>
    <row r="28" spans="1:24" ht="12.75" x14ac:dyDescent="0.2">
      <c r="A28" s="3">
        <v>111364</v>
      </c>
      <c r="B28" s="8">
        <v>43833.456250000003</v>
      </c>
      <c r="C28" s="9" t="s">
        <v>573</v>
      </c>
      <c r="D28" s="3" t="s">
        <v>26</v>
      </c>
      <c r="E28" s="3" t="s">
        <v>27</v>
      </c>
      <c r="F28" s="3" t="s">
        <v>28</v>
      </c>
      <c r="G28" s="3" t="s">
        <v>29</v>
      </c>
      <c r="H28" s="3" t="s">
        <v>30</v>
      </c>
      <c r="I28" s="3" t="s">
        <v>31</v>
      </c>
      <c r="J28" s="3" t="s">
        <v>32</v>
      </c>
      <c r="K28" s="8">
        <v>43840.749305555553</v>
      </c>
      <c r="L28" s="12" t="s">
        <v>576</v>
      </c>
      <c r="M28" s="3">
        <v>0</v>
      </c>
      <c r="N28" s="3">
        <v>1</v>
      </c>
      <c r="O28" s="3" t="s">
        <v>33</v>
      </c>
      <c r="P28" s="10" t="s">
        <v>576</v>
      </c>
      <c r="Q28" s="3" t="s">
        <v>34</v>
      </c>
      <c r="R28" s="3">
        <v>11</v>
      </c>
      <c r="S28" s="3">
        <v>4</v>
      </c>
      <c r="T28" s="3" t="s">
        <v>35</v>
      </c>
      <c r="U28" s="3" t="s">
        <v>62</v>
      </c>
      <c r="V28" s="3" t="s">
        <v>37</v>
      </c>
      <c r="W28" s="11" cm="1">
        <f t="array" ref="W28">IF(H28="Request","No SLA for Request", IF(F28="Emergency",B28+(4/24), WORKDAY(B28, _xlfn.IFS(F28="High", 3, F28="Normal", 5, F28="Low", 10))))</f>
        <v>43833.622916666667</v>
      </c>
      <c r="X28" t="str">
        <f t="shared" si="0"/>
        <v>Yes</v>
      </c>
    </row>
    <row r="29" spans="1:24" ht="12.75" x14ac:dyDescent="0.2">
      <c r="A29" s="3">
        <v>111357</v>
      </c>
      <c r="B29" s="8">
        <v>43809.625</v>
      </c>
      <c r="C29" s="3" t="s">
        <v>218</v>
      </c>
      <c r="D29" s="3" t="s">
        <v>44</v>
      </c>
      <c r="E29" s="3" t="s">
        <v>45</v>
      </c>
      <c r="F29" s="3" t="s">
        <v>28</v>
      </c>
      <c r="G29" s="3" t="s">
        <v>577</v>
      </c>
      <c r="H29" s="3" t="s">
        <v>53</v>
      </c>
      <c r="I29" s="3" t="s">
        <v>31</v>
      </c>
      <c r="J29" s="3" t="s">
        <v>32</v>
      </c>
      <c r="K29" s="8">
        <v>43817.692361111112</v>
      </c>
      <c r="L29" s="8">
        <v>43810.125</v>
      </c>
      <c r="M29" s="3">
        <v>0</v>
      </c>
      <c r="N29" s="3">
        <v>1</v>
      </c>
      <c r="O29" s="3" t="s">
        <v>58</v>
      </c>
      <c r="P29" s="10" t="s">
        <v>576</v>
      </c>
      <c r="Q29" s="3" t="s">
        <v>46</v>
      </c>
      <c r="R29" s="3">
        <v>4</v>
      </c>
      <c r="S29" s="3">
        <v>0</v>
      </c>
      <c r="T29" s="10" t="s">
        <v>576</v>
      </c>
      <c r="U29" s="10" t="s">
        <v>576</v>
      </c>
      <c r="V29" s="3" t="s">
        <v>37</v>
      </c>
      <c r="W29" s="11" t="str" cm="1">
        <f t="array" ref="W29">IF(H29="Request","No SLA for Request", IF(F29="Emergency",B29+(4/24), WORKDAY(B29, _xlfn.IFS(F29="High", 3, F29="Normal", 5, F29="Low", 10))))</f>
        <v>No SLA for Request</v>
      </c>
      <c r="X29" t="str">
        <f t="shared" si="0"/>
        <v>N/A</v>
      </c>
    </row>
    <row r="30" spans="1:24" ht="12.75" x14ac:dyDescent="0.2">
      <c r="A30" s="3">
        <v>111347</v>
      </c>
      <c r="B30" s="8">
        <v>43791.690972222219</v>
      </c>
      <c r="C30" s="9" t="s">
        <v>574</v>
      </c>
      <c r="D30" s="3" t="s">
        <v>73</v>
      </c>
      <c r="E30" s="3" t="s">
        <v>74</v>
      </c>
      <c r="F30" s="3" t="s">
        <v>28</v>
      </c>
      <c r="G30" s="3" t="s">
        <v>29</v>
      </c>
      <c r="H30" s="3" t="s">
        <v>30</v>
      </c>
      <c r="I30" s="3" t="s">
        <v>31</v>
      </c>
      <c r="J30" s="3" t="s">
        <v>32</v>
      </c>
      <c r="K30" s="8">
        <v>43811.47152777778</v>
      </c>
      <c r="L30" s="8">
        <v>43792.190972222219</v>
      </c>
      <c r="M30" s="3">
        <v>0</v>
      </c>
      <c r="N30" s="3">
        <v>1</v>
      </c>
      <c r="O30" s="3" t="s">
        <v>33</v>
      </c>
      <c r="P30" s="10" t="s">
        <v>576</v>
      </c>
      <c r="Q30" s="3" t="s">
        <v>34</v>
      </c>
      <c r="R30" s="3">
        <v>6</v>
      </c>
      <c r="S30" s="3">
        <v>1</v>
      </c>
      <c r="T30" s="10" t="s">
        <v>576</v>
      </c>
      <c r="U30" s="10" t="s">
        <v>576</v>
      </c>
      <c r="V30" s="3" t="s">
        <v>37</v>
      </c>
      <c r="W30" s="11" cm="1">
        <f t="array" ref="W30">IF(H30="Request","No SLA for Request", IF(F30="Emergency",B30+(4/24), WORKDAY(B30, _xlfn.IFS(F30="High", 3, F30="Normal", 5, F30="Low", 10))))</f>
        <v>43791.857638888883</v>
      </c>
      <c r="X30" t="str">
        <f t="shared" si="0"/>
        <v>Yes</v>
      </c>
    </row>
    <row r="31" spans="1:24" ht="12.75" x14ac:dyDescent="0.2">
      <c r="A31" s="3">
        <v>111331</v>
      </c>
      <c r="B31" s="8">
        <v>43761.710416666669</v>
      </c>
      <c r="C31" s="3" t="s">
        <v>219</v>
      </c>
      <c r="D31" s="3" t="s">
        <v>70</v>
      </c>
      <c r="E31" s="3" t="s">
        <v>71</v>
      </c>
      <c r="F31" s="3" t="s">
        <v>28</v>
      </c>
      <c r="G31" s="3" t="s">
        <v>29</v>
      </c>
      <c r="H31" s="3" t="s">
        <v>30</v>
      </c>
      <c r="I31" s="3" t="s">
        <v>31</v>
      </c>
      <c r="J31" s="3" t="s">
        <v>32</v>
      </c>
      <c r="K31" s="8">
        <v>43773.65902777778</v>
      </c>
      <c r="L31" s="8">
        <v>43763.708333333336</v>
      </c>
      <c r="M31" s="3">
        <v>0</v>
      </c>
      <c r="N31" s="3">
        <v>1</v>
      </c>
      <c r="O31" s="3" t="s">
        <v>33</v>
      </c>
      <c r="P31" s="10" t="s">
        <v>576</v>
      </c>
      <c r="Q31" s="3" t="s">
        <v>43</v>
      </c>
      <c r="R31" s="3">
        <v>30</v>
      </c>
      <c r="S31" s="3">
        <v>26</v>
      </c>
      <c r="T31" s="10" t="s">
        <v>576</v>
      </c>
      <c r="U31" s="10" t="s">
        <v>576</v>
      </c>
      <c r="V31" s="3" t="s">
        <v>37</v>
      </c>
      <c r="W31" s="11" cm="1">
        <f t="array" ref="W31">IF(H31="Request","No SLA for Request", IF(F31="Emergency",B31+(4/24), WORKDAY(B31, _xlfn.IFS(F31="High", 3, F31="Normal", 5, F31="Low", 10))))</f>
        <v>43761.877083333333</v>
      </c>
      <c r="X31" t="str">
        <f t="shared" si="0"/>
        <v>Yes</v>
      </c>
    </row>
    <row r="32" spans="1:24" ht="12.75" x14ac:dyDescent="0.2">
      <c r="A32" s="3">
        <v>111246</v>
      </c>
      <c r="B32" s="8">
        <v>43647.587500000001</v>
      </c>
      <c r="C32" s="3" t="s">
        <v>220</v>
      </c>
      <c r="D32" s="3" t="s">
        <v>26</v>
      </c>
      <c r="E32" s="3" t="s">
        <v>27</v>
      </c>
      <c r="F32" s="3" t="s">
        <v>28</v>
      </c>
      <c r="G32" s="3" t="s">
        <v>29</v>
      </c>
      <c r="H32" s="3" t="s">
        <v>30</v>
      </c>
      <c r="I32" s="3" t="s">
        <v>31</v>
      </c>
      <c r="J32" s="3" t="s">
        <v>32</v>
      </c>
      <c r="K32" s="8">
        <v>43760.758333333331</v>
      </c>
      <c r="L32" s="8">
        <v>43648.087500000001</v>
      </c>
      <c r="M32" s="3">
        <v>0</v>
      </c>
      <c r="N32" s="3">
        <v>1</v>
      </c>
      <c r="O32" s="3" t="s">
        <v>33</v>
      </c>
      <c r="P32" s="10" t="s">
        <v>576</v>
      </c>
      <c r="Q32" s="3" t="s">
        <v>34</v>
      </c>
      <c r="R32" s="3">
        <v>14</v>
      </c>
      <c r="S32" s="3">
        <v>3</v>
      </c>
      <c r="T32" s="10" t="s">
        <v>576</v>
      </c>
      <c r="U32" s="10" t="s">
        <v>576</v>
      </c>
      <c r="V32" s="3" t="s">
        <v>48</v>
      </c>
      <c r="W32" s="11" cm="1">
        <f t="array" ref="W32">IF(H32="Request","No SLA for Request", IF(F32="Emergency",B32+(4/24), WORKDAY(B32, _xlfn.IFS(F32="High", 3, F32="Normal", 5, F32="Low", 10))))</f>
        <v>43647.754166666666</v>
      </c>
      <c r="X32" t="str">
        <f t="shared" si="0"/>
        <v>Yes</v>
      </c>
    </row>
    <row r="33" spans="1:24" ht="12.75" x14ac:dyDescent="0.2">
      <c r="A33" s="3">
        <v>111265</v>
      </c>
      <c r="B33" s="8">
        <v>43664.584722222222</v>
      </c>
      <c r="C33" s="3" t="s">
        <v>221</v>
      </c>
      <c r="D33" s="3" t="s">
        <v>75</v>
      </c>
      <c r="E33" s="3" t="s">
        <v>76</v>
      </c>
      <c r="F33" s="3" t="s">
        <v>28</v>
      </c>
      <c r="G33" s="3" t="s">
        <v>577</v>
      </c>
      <c r="H33" s="3" t="s">
        <v>30</v>
      </c>
      <c r="I33" s="3" t="s">
        <v>31</v>
      </c>
      <c r="J33" s="3" t="s">
        <v>32</v>
      </c>
      <c r="K33" s="8">
        <v>43739.447222222225</v>
      </c>
      <c r="L33" s="8">
        <v>43665.084722222222</v>
      </c>
      <c r="M33" s="3">
        <v>0</v>
      </c>
      <c r="N33" s="3">
        <v>1</v>
      </c>
      <c r="O33" s="3" t="s">
        <v>58</v>
      </c>
      <c r="P33" s="10" t="s">
        <v>576</v>
      </c>
      <c r="Q33" s="3" t="s">
        <v>77</v>
      </c>
      <c r="R33" s="3">
        <v>7</v>
      </c>
      <c r="S33" s="3">
        <v>0</v>
      </c>
      <c r="T33" s="10" t="s">
        <v>576</v>
      </c>
      <c r="U33" s="10" t="s">
        <v>576</v>
      </c>
      <c r="V33" s="3" t="s">
        <v>37</v>
      </c>
      <c r="W33" s="11" cm="1">
        <f t="array" ref="W33">IF(H33="Request","No SLA for Request", IF(F33="Emergency",B33+(4/24), WORKDAY(B33, _xlfn.IFS(F33="High", 3, F33="Normal", 5, F33="Low", 10))))</f>
        <v>43664.751388888886</v>
      </c>
      <c r="X33" t="str">
        <f t="shared" si="0"/>
        <v>Yes</v>
      </c>
    </row>
    <row r="34" spans="1:24" ht="12.75" x14ac:dyDescent="0.2">
      <c r="A34" s="3">
        <v>111306</v>
      </c>
      <c r="B34" s="8">
        <v>43729.445138888892</v>
      </c>
      <c r="C34" s="3" t="s">
        <v>222</v>
      </c>
      <c r="D34" s="3" t="s">
        <v>44</v>
      </c>
      <c r="E34" s="3" t="s">
        <v>45</v>
      </c>
      <c r="F34" s="3" t="s">
        <v>28</v>
      </c>
      <c r="G34" s="3" t="s">
        <v>577</v>
      </c>
      <c r="H34" s="3" t="s">
        <v>30</v>
      </c>
      <c r="I34" s="3" t="s">
        <v>31</v>
      </c>
      <c r="J34" s="3" t="s">
        <v>32</v>
      </c>
      <c r="K34" s="8">
        <v>43735.711111111108</v>
      </c>
      <c r="L34" s="8">
        <v>43729.945138888892</v>
      </c>
      <c r="M34" s="3">
        <v>0</v>
      </c>
      <c r="N34" s="3">
        <v>1</v>
      </c>
      <c r="O34" s="3" t="s">
        <v>58</v>
      </c>
      <c r="P34" s="10" t="s">
        <v>576</v>
      </c>
      <c r="Q34" s="3" t="s">
        <v>46</v>
      </c>
      <c r="R34" s="3">
        <v>11</v>
      </c>
      <c r="S34" s="3">
        <v>2</v>
      </c>
      <c r="T34" s="10" t="s">
        <v>576</v>
      </c>
      <c r="U34" s="10" t="s">
        <v>576</v>
      </c>
      <c r="V34" s="3" t="s">
        <v>37</v>
      </c>
      <c r="W34" s="11" cm="1">
        <f t="array" ref="W34">IF(H34="Request","No SLA for Request", IF(F34="Emergency",B34+(4/24), WORKDAY(B34, _xlfn.IFS(F34="High", 3, F34="Normal", 5, F34="Low", 10))))</f>
        <v>43729.611805555556</v>
      </c>
      <c r="X34" t="str">
        <f t="shared" si="0"/>
        <v>Yes</v>
      </c>
    </row>
    <row r="35" spans="1:24" ht="12.75" x14ac:dyDescent="0.2">
      <c r="A35" s="3">
        <v>111147</v>
      </c>
      <c r="B35" s="8">
        <v>43543.40902777778</v>
      </c>
      <c r="C35" s="3" t="s">
        <v>223</v>
      </c>
      <c r="D35" s="3" t="s">
        <v>49</v>
      </c>
      <c r="E35" s="3" t="s">
        <v>50</v>
      </c>
      <c r="F35" s="3" t="s">
        <v>28</v>
      </c>
      <c r="G35" s="3" t="s">
        <v>29</v>
      </c>
      <c r="H35" s="3" t="s">
        <v>30</v>
      </c>
      <c r="I35" s="3" t="s">
        <v>31</v>
      </c>
      <c r="J35" s="3" t="s">
        <v>32</v>
      </c>
      <c r="K35" s="8">
        <v>43719.726388888892</v>
      </c>
      <c r="L35" s="8">
        <v>43543.90902777778</v>
      </c>
      <c r="M35" s="3">
        <v>0</v>
      </c>
      <c r="N35" s="3">
        <v>1</v>
      </c>
      <c r="O35" s="3" t="s">
        <v>33</v>
      </c>
      <c r="P35" s="10" t="s">
        <v>576</v>
      </c>
      <c r="Q35" s="3" t="s">
        <v>34</v>
      </c>
      <c r="R35" s="3">
        <v>24</v>
      </c>
      <c r="S35" s="3">
        <v>9</v>
      </c>
      <c r="T35" s="10" t="s">
        <v>576</v>
      </c>
      <c r="U35" s="10" t="s">
        <v>576</v>
      </c>
      <c r="V35" s="3" t="s">
        <v>48</v>
      </c>
      <c r="W35" s="11" cm="1">
        <f t="array" ref="W35">IF(H35="Request","No SLA for Request", IF(F35="Emergency",B35+(4/24), WORKDAY(B35, _xlfn.IFS(F35="High", 3, F35="Normal", 5, F35="Low", 10))))</f>
        <v>43543.575694444444</v>
      </c>
      <c r="X35" t="str">
        <f t="shared" si="0"/>
        <v>Yes</v>
      </c>
    </row>
    <row r="36" spans="1:24" ht="12.75" x14ac:dyDescent="0.2">
      <c r="A36" s="3">
        <v>111254</v>
      </c>
      <c r="B36" s="8">
        <v>43655.35833333333</v>
      </c>
      <c r="C36" s="3" t="s">
        <v>224</v>
      </c>
      <c r="D36" s="3" t="s">
        <v>26</v>
      </c>
      <c r="E36" s="3" t="s">
        <v>27</v>
      </c>
      <c r="F36" s="3" t="s">
        <v>28</v>
      </c>
      <c r="G36" s="3" t="s">
        <v>29</v>
      </c>
      <c r="H36" s="3" t="s">
        <v>30</v>
      </c>
      <c r="I36" s="3" t="s">
        <v>31</v>
      </c>
      <c r="J36" s="3" t="s">
        <v>32</v>
      </c>
      <c r="K36" s="8">
        <v>43719.724305555559</v>
      </c>
      <c r="L36" s="12" t="s">
        <v>576</v>
      </c>
      <c r="M36" s="3">
        <v>0</v>
      </c>
      <c r="N36" s="3">
        <v>1</v>
      </c>
      <c r="O36" s="3" t="s">
        <v>33</v>
      </c>
      <c r="P36" s="10" t="s">
        <v>576</v>
      </c>
      <c r="Q36" s="3" t="s">
        <v>34</v>
      </c>
      <c r="R36" s="3">
        <v>21</v>
      </c>
      <c r="S36" s="3">
        <v>6</v>
      </c>
      <c r="T36" s="10" t="s">
        <v>576</v>
      </c>
      <c r="U36" s="10" t="s">
        <v>576</v>
      </c>
      <c r="V36" s="3" t="s">
        <v>48</v>
      </c>
      <c r="W36" s="11" cm="1">
        <f t="array" ref="W36">IF(H36="Request","No SLA for Request", IF(F36="Emergency",B36+(4/24), WORKDAY(B36, _xlfn.IFS(F36="High", 3, F36="Normal", 5, F36="Low", 10))))</f>
        <v>43655.524999999994</v>
      </c>
      <c r="X36" t="str">
        <f t="shared" si="0"/>
        <v>Yes</v>
      </c>
    </row>
    <row r="37" spans="1:24" ht="12.75" x14ac:dyDescent="0.2">
      <c r="A37" s="3">
        <v>111283</v>
      </c>
      <c r="B37" s="8">
        <v>43685.303472222222</v>
      </c>
      <c r="C37" s="3" t="s">
        <v>225</v>
      </c>
      <c r="D37" s="3" t="s">
        <v>78</v>
      </c>
      <c r="E37" s="3" t="s">
        <v>79</v>
      </c>
      <c r="F37" s="3" t="s">
        <v>28</v>
      </c>
      <c r="G37" s="3" t="s">
        <v>29</v>
      </c>
      <c r="H37" s="3" t="s">
        <v>30</v>
      </c>
      <c r="I37" s="3" t="s">
        <v>31</v>
      </c>
      <c r="J37" s="3" t="s">
        <v>32</v>
      </c>
      <c r="K37" s="8">
        <v>43705.464583333334</v>
      </c>
      <c r="L37" s="8">
        <v>43685.803472222222</v>
      </c>
      <c r="M37" s="3">
        <v>0</v>
      </c>
      <c r="N37" s="3">
        <v>1</v>
      </c>
      <c r="O37" s="3" t="s">
        <v>33</v>
      </c>
      <c r="P37" s="10" t="s">
        <v>576</v>
      </c>
      <c r="Q37" s="3" t="s">
        <v>43</v>
      </c>
      <c r="R37" s="3">
        <v>9</v>
      </c>
      <c r="S37" s="3">
        <v>1</v>
      </c>
      <c r="T37" s="10" t="s">
        <v>576</v>
      </c>
      <c r="U37" s="10" t="s">
        <v>576</v>
      </c>
      <c r="V37" s="3" t="s">
        <v>37</v>
      </c>
      <c r="W37" s="11" cm="1">
        <f t="array" ref="W37">IF(H37="Request","No SLA for Request", IF(F37="Emergency",B37+(4/24), WORKDAY(B37, _xlfn.IFS(F37="High", 3, F37="Normal", 5, F37="Low", 10))))</f>
        <v>43685.470138888886</v>
      </c>
      <c r="X37" t="str">
        <f t="shared" si="0"/>
        <v>Yes</v>
      </c>
    </row>
    <row r="38" spans="1:24" ht="12.75" x14ac:dyDescent="0.2">
      <c r="A38" s="3">
        <v>111258</v>
      </c>
      <c r="B38" s="8">
        <v>43657.338194444441</v>
      </c>
      <c r="C38" s="3" t="s">
        <v>226</v>
      </c>
      <c r="D38" s="3" t="s">
        <v>63</v>
      </c>
      <c r="E38" s="3" t="s">
        <v>64</v>
      </c>
      <c r="F38" s="3" t="s">
        <v>28</v>
      </c>
      <c r="G38" s="3" t="s">
        <v>29</v>
      </c>
      <c r="H38" s="3" t="s">
        <v>30</v>
      </c>
      <c r="I38" s="3" t="s">
        <v>31</v>
      </c>
      <c r="J38" s="3" t="s">
        <v>32</v>
      </c>
      <c r="K38" s="8">
        <v>43663.742361111108</v>
      </c>
      <c r="L38" s="8">
        <v>43657.838194444441</v>
      </c>
      <c r="M38" s="3">
        <v>0</v>
      </c>
      <c r="N38" s="3">
        <v>1</v>
      </c>
      <c r="O38" s="3" t="s">
        <v>33</v>
      </c>
      <c r="P38" s="10" t="s">
        <v>576</v>
      </c>
      <c r="Q38" s="3" t="s">
        <v>34</v>
      </c>
      <c r="R38" s="3">
        <v>10</v>
      </c>
      <c r="S38" s="3">
        <v>5</v>
      </c>
      <c r="T38" s="10" t="s">
        <v>576</v>
      </c>
      <c r="U38" s="10" t="s">
        <v>576</v>
      </c>
      <c r="V38" s="3" t="s">
        <v>48</v>
      </c>
      <c r="W38" s="11" cm="1">
        <f t="array" ref="W38">IF(H38="Request","No SLA for Request", IF(F38="Emergency",B38+(4/24), WORKDAY(B38, _xlfn.IFS(F38="High", 3, F38="Normal", 5, F38="Low", 10))))</f>
        <v>43657.504861111105</v>
      </c>
      <c r="X38" t="str">
        <f t="shared" si="0"/>
        <v>Yes</v>
      </c>
    </row>
    <row r="39" spans="1:24" ht="12.75" x14ac:dyDescent="0.2">
      <c r="A39" s="3">
        <v>111222</v>
      </c>
      <c r="B39" s="8">
        <v>43620.397916666669</v>
      </c>
      <c r="C39" s="3" t="s">
        <v>227</v>
      </c>
      <c r="D39" s="3" t="s">
        <v>80</v>
      </c>
      <c r="E39" s="3" t="s">
        <v>81</v>
      </c>
      <c r="F39" s="3" t="s">
        <v>28</v>
      </c>
      <c r="G39" s="3" t="s">
        <v>29</v>
      </c>
      <c r="H39" s="3" t="s">
        <v>30</v>
      </c>
      <c r="I39" s="3" t="s">
        <v>31</v>
      </c>
      <c r="J39" s="3" t="s">
        <v>32</v>
      </c>
      <c r="K39" s="8">
        <v>43630.588888888888</v>
      </c>
      <c r="L39" s="8">
        <v>43623.708333333336</v>
      </c>
      <c r="M39" s="3">
        <v>0</v>
      </c>
      <c r="N39" s="3">
        <v>1</v>
      </c>
      <c r="O39" s="3" t="s">
        <v>33</v>
      </c>
      <c r="P39" s="10" t="s">
        <v>576</v>
      </c>
      <c r="Q39" s="3" t="s">
        <v>43</v>
      </c>
      <c r="R39" s="3">
        <v>25</v>
      </c>
      <c r="S39" s="3">
        <v>8</v>
      </c>
      <c r="T39" s="10" t="s">
        <v>576</v>
      </c>
      <c r="U39" s="10" t="s">
        <v>576</v>
      </c>
      <c r="V39" s="3" t="s">
        <v>37</v>
      </c>
      <c r="W39" s="11" cm="1">
        <f t="array" ref="W39">IF(H39="Request","No SLA for Request", IF(F39="Emergency",B39+(4/24), WORKDAY(B39, _xlfn.IFS(F39="High", 3, F39="Normal", 5, F39="Low", 10))))</f>
        <v>43620.564583333333</v>
      </c>
      <c r="X39" t="str">
        <f t="shared" si="0"/>
        <v>Yes</v>
      </c>
    </row>
    <row r="40" spans="1:24" ht="12.75" x14ac:dyDescent="0.2">
      <c r="A40" s="3">
        <v>111210</v>
      </c>
      <c r="B40" s="8">
        <v>43612.449305555558</v>
      </c>
      <c r="C40" s="3" t="s">
        <v>228</v>
      </c>
      <c r="D40" s="3" t="s">
        <v>82</v>
      </c>
      <c r="E40" s="3" t="s">
        <v>83</v>
      </c>
      <c r="F40" s="3" t="s">
        <v>28</v>
      </c>
      <c r="G40" s="3" t="s">
        <v>29</v>
      </c>
      <c r="H40" s="3" t="s">
        <v>30</v>
      </c>
      <c r="I40" s="3" t="s">
        <v>31</v>
      </c>
      <c r="J40" s="3" t="s">
        <v>32</v>
      </c>
      <c r="K40" s="8">
        <v>43630.57916666667</v>
      </c>
      <c r="L40" s="8">
        <v>43626.708333333336</v>
      </c>
      <c r="M40" s="3">
        <v>0</v>
      </c>
      <c r="N40" s="3">
        <v>1</v>
      </c>
      <c r="O40" s="3" t="s">
        <v>33</v>
      </c>
      <c r="P40" s="10" t="s">
        <v>576</v>
      </c>
      <c r="Q40" s="3" t="s">
        <v>43</v>
      </c>
      <c r="R40" s="3">
        <v>9</v>
      </c>
      <c r="S40" s="3">
        <v>5</v>
      </c>
      <c r="T40" s="10" t="s">
        <v>576</v>
      </c>
      <c r="U40" s="10" t="s">
        <v>576</v>
      </c>
      <c r="V40" s="3" t="s">
        <v>37</v>
      </c>
      <c r="W40" s="11" cm="1">
        <f t="array" ref="W40">IF(H40="Request","No SLA for Request", IF(F40="Emergency",B40+(4/24), WORKDAY(B40, _xlfn.IFS(F40="High", 3, F40="Normal", 5, F40="Low", 10))))</f>
        <v>43612.615972222222</v>
      </c>
      <c r="X40" t="str">
        <f t="shared" si="0"/>
        <v>Yes</v>
      </c>
    </row>
    <row r="41" spans="1:24" ht="12.75" x14ac:dyDescent="0.2">
      <c r="A41" s="3">
        <v>111168</v>
      </c>
      <c r="B41" s="8">
        <v>43559.666666666664</v>
      </c>
      <c r="C41" s="9" t="s">
        <v>234</v>
      </c>
      <c r="D41" s="3" t="s">
        <v>78</v>
      </c>
      <c r="E41" s="3" t="s">
        <v>79</v>
      </c>
      <c r="F41" s="3" t="s">
        <v>28</v>
      </c>
      <c r="G41" s="3" t="s">
        <v>29</v>
      </c>
      <c r="H41" s="3" t="s">
        <v>30</v>
      </c>
      <c r="I41" s="3" t="s">
        <v>31</v>
      </c>
      <c r="J41" s="3" t="s">
        <v>32</v>
      </c>
      <c r="K41" s="8">
        <v>43630.574999999997</v>
      </c>
      <c r="L41" s="8">
        <v>43560.166666666664</v>
      </c>
      <c r="M41" s="3">
        <v>0</v>
      </c>
      <c r="N41" s="3">
        <v>1</v>
      </c>
      <c r="O41" s="3" t="s">
        <v>33</v>
      </c>
      <c r="P41" s="10" t="s">
        <v>576</v>
      </c>
      <c r="Q41" s="3" t="s">
        <v>43</v>
      </c>
      <c r="R41" s="3">
        <v>25</v>
      </c>
      <c r="S41" s="3">
        <v>5</v>
      </c>
      <c r="T41" s="10" t="s">
        <v>576</v>
      </c>
      <c r="U41" s="10" t="s">
        <v>576</v>
      </c>
      <c r="V41" s="3" t="s">
        <v>48</v>
      </c>
      <c r="W41" s="11" cm="1">
        <f t="array" ref="W41">IF(H41="Request","No SLA for Request", IF(F41="Emergency",B41+(4/24), WORKDAY(B41, _xlfn.IFS(F41="High", 3, F41="Normal", 5, F41="Low", 10))))</f>
        <v>43559.833333333328</v>
      </c>
      <c r="X41" t="str">
        <f t="shared" si="0"/>
        <v>Yes</v>
      </c>
    </row>
    <row r="42" spans="1:24" ht="12.75" x14ac:dyDescent="0.2">
      <c r="A42" s="3">
        <v>111225</v>
      </c>
      <c r="B42" s="8">
        <v>43622.359027777777</v>
      </c>
      <c r="C42" s="3" t="s">
        <v>584</v>
      </c>
      <c r="D42" s="3" t="s">
        <v>73</v>
      </c>
      <c r="E42" s="3" t="s">
        <v>74</v>
      </c>
      <c r="F42" s="3" t="s">
        <v>28</v>
      </c>
      <c r="G42" s="3" t="s">
        <v>29</v>
      </c>
      <c r="H42" s="3" t="s">
        <v>30</v>
      </c>
      <c r="I42" s="3" t="s">
        <v>31</v>
      </c>
      <c r="J42" s="3" t="s">
        <v>32</v>
      </c>
      <c r="K42" s="8">
        <v>43629.54583333333</v>
      </c>
      <c r="L42" s="8">
        <v>43622.859027777777</v>
      </c>
      <c r="M42" s="3">
        <v>0</v>
      </c>
      <c r="N42" s="3">
        <v>1</v>
      </c>
      <c r="O42" s="3" t="s">
        <v>33</v>
      </c>
      <c r="P42" s="10" t="s">
        <v>576</v>
      </c>
      <c r="Q42" s="3" t="s">
        <v>34</v>
      </c>
      <c r="R42" s="3">
        <v>11</v>
      </c>
      <c r="S42" s="3">
        <v>1</v>
      </c>
      <c r="T42" s="10" t="s">
        <v>576</v>
      </c>
      <c r="U42" s="10" t="s">
        <v>576</v>
      </c>
      <c r="V42" s="3" t="s">
        <v>48</v>
      </c>
      <c r="W42" s="11" cm="1">
        <f t="array" ref="W42">IF(H42="Request","No SLA for Request", IF(F42="Emergency",B42+(4/24), WORKDAY(B42, _xlfn.IFS(F42="High", 3, F42="Normal", 5, F42="Low", 10))))</f>
        <v>43622.525694444441</v>
      </c>
      <c r="X42" t="str">
        <f t="shared" si="0"/>
        <v>Yes</v>
      </c>
    </row>
    <row r="43" spans="1:24" ht="12.75" x14ac:dyDescent="0.2">
      <c r="A43" s="3">
        <v>111219</v>
      </c>
      <c r="B43" s="8">
        <v>43616.482638888891</v>
      </c>
      <c r="C43" s="3" t="s">
        <v>229</v>
      </c>
      <c r="D43" s="3" t="s">
        <v>80</v>
      </c>
      <c r="E43" s="3" t="s">
        <v>81</v>
      </c>
      <c r="F43" s="3" t="s">
        <v>28</v>
      </c>
      <c r="G43" s="3" t="s">
        <v>29</v>
      </c>
      <c r="H43" s="3" t="s">
        <v>53</v>
      </c>
      <c r="I43" s="3" t="s">
        <v>31</v>
      </c>
      <c r="J43" s="3" t="s">
        <v>32</v>
      </c>
      <c r="K43" s="8">
        <v>43626.619444444441</v>
      </c>
      <c r="L43" s="8">
        <v>43626.708333333336</v>
      </c>
      <c r="M43" s="3">
        <v>0</v>
      </c>
      <c r="N43" s="3">
        <v>1</v>
      </c>
      <c r="O43" s="3" t="s">
        <v>33</v>
      </c>
      <c r="P43" s="10" t="s">
        <v>576</v>
      </c>
      <c r="Q43" s="3" t="s">
        <v>43</v>
      </c>
      <c r="R43" s="3">
        <v>14</v>
      </c>
      <c r="S43" s="3">
        <v>6</v>
      </c>
      <c r="T43" s="10" t="s">
        <v>576</v>
      </c>
      <c r="U43" s="10" t="s">
        <v>576</v>
      </c>
      <c r="V43" s="3" t="s">
        <v>37</v>
      </c>
      <c r="W43" s="11" t="str" cm="1">
        <f t="array" ref="W43">IF(H43="Request","No SLA for Request", IF(F43="Emergency",B43+(4/24), WORKDAY(B43, _xlfn.IFS(F43="High", 3, F43="Normal", 5, F43="Low", 10))))</f>
        <v>No SLA for Request</v>
      </c>
      <c r="X43" t="str">
        <f t="shared" si="0"/>
        <v>N/A</v>
      </c>
    </row>
    <row r="44" spans="1:24" ht="12.75" x14ac:dyDescent="0.2">
      <c r="A44" s="3">
        <v>111188</v>
      </c>
      <c r="B44" s="8">
        <v>43584.637499999997</v>
      </c>
      <c r="C44" s="3" t="s">
        <v>230</v>
      </c>
      <c r="D44" s="3" t="s">
        <v>78</v>
      </c>
      <c r="E44" s="3" t="s">
        <v>79</v>
      </c>
      <c r="F44" s="3" t="s">
        <v>28</v>
      </c>
      <c r="G44" s="3" t="s">
        <v>29</v>
      </c>
      <c r="H44" s="3" t="s">
        <v>30</v>
      </c>
      <c r="I44" s="3" t="s">
        <v>31</v>
      </c>
      <c r="J44" s="3" t="s">
        <v>32</v>
      </c>
      <c r="K44" s="8">
        <v>43620.72152777778</v>
      </c>
      <c r="L44" s="8">
        <v>43585.137499999997</v>
      </c>
      <c r="M44" s="3">
        <v>0</v>
      </c>
      <c r="N44" s="3">
        <v>1</v>
      </c>
      <c r="O44" s="3" t="s">
        <v>33</v>
      </c>
      <c r="P44" s="10" t="s">
        <v>576</v>
      </c>
      <c r="Q44" s="3" t="s">
        <v>43</v>
      </c>
      <c r="R44" s="3">
        <v>45</v>
      </c>
      <c r="S44" s="3">
        <v>3</v>
      </c>
      <c r="T44" s="10" t="s">
        <v>576</v>
      </c>
      <c r="U44" s="10" t="s">
        <v>576</v>
      </c>
      <c r="V44" s="3" t="s">
        <v>48</v>
      </c>
      <c r="W44" s="11" cm="1">
        <f t="array" ref="W44">IF(H44="Request","No SLA for Request", IF(F44="Emergency",B44+(4/24), WORKDAY(B44, _xlfn.IFS(F44="High", 3, F44="Normal", 5, F44="Low", 10))))</f>
        <v>43584.804166666661</v>
      </c>
      <c r="X44" t="str">
        <f t="shared" si="0"/>
        <v>Yes</v>
      </c>
    </row>
    <row r="45" spans="1:24" ht="12.75" x14ac:dyDescent="0.2">
      <c r="A45" s="3">
        <v>111184</v>
      </c>
      <c r="B45" s="8">
        <v>43579.595833333333</v>
      </c>
      <c r="C45" s="3" t="s">
        <v>231</v>
      </c>
      <c r="D45" s="3" t="s">
        <v>78</v>
      </c>
      <c r="E45" s="3" t="s">
        <v>79</v>
      </c>
      <c r="F45" s="3" t="s">
        <v>28</v>
      </c>
      <c r="G45" s="3" t="s">
        <v>29</v>
      </c>
      <c r="H45" s="3" t="s">
        <v>30</v>
      </c>
      <c r="I45" s="3" t="s">
        <v>31</v>
      </c>
      <c r="J45" s="3" t="s">
        <v>32</v>
      </c>
      <c r="K45" s="8">
        <v>43599.805555555555</v>
      </c>
      <c r="L45" s="8">
        <v>43580.095833333333</v>
      </c>
      <c r="M45" s="3">
        <v>0</v>
      </c>
      <c r="N45" s="3">
        <v>1</v>
      </c>
      <c r="O45" s="3" t="s">
        <v>33</v>
      </c>
      <c r="P45" s="10" t="s">
        <v>576</v>
      </c>
      <c r="Q45" s="3" t="s">
        <v>43</v>
      </c>
      <c r="R45" s="3">
        <v>14</v>
      </c>
      <c r="S45" s="3">
        <v>1</v>
      </c>
      <c r="T45" s="10" t="s">
        <v>576</v>
      </c>
      <c r="U45" s="10" t="s">
        <v>576</v>
      </c>
      <c r="V45" s="3" t="s">
        <v>37</v>
      </c>
      <c r="W45" s="11" cm="1">
        <f t="array" ref="W45">IF(H45="Request","No SLA for Request", IF(F45="Emergency",B45+(4/24), WORKDAY(B45, _xlfn.IFS(F45="High", 3, F45="Normal", 5, F45="Low", 10))))</f>
        <v>43579.762499999997</v>
      </c>
      <c r="X45" t="str">
        <f t="shared" si="0"/>
        <v>Yes</v>
      </c>
    </row>
    <row r="46" spans="1:24" ht="12.75" x14ac:dyDescent="0.2">
      <c r="A46" s="3">
        <v>111171</v>
      </c>
      <c r="B46" s="8">
        <v>43563.368750000001</v>
      </c>
      <c r="C46" s="3" t="s">
        <v>232</v>
      </c>
      <c r="D46" s="3" t="s">
        <v>78</v>
      </c>
      <c r="E46" s="3" t="s">
        <v>79</v>
      </c>
      <c r="F46" s="3" t="s">
        <v>28</v>
      </c>
      <c r="G46" s="3" t="s">
        <v>29</v>
      </c>
      <c r="H46" s="3" t="s">
        <v>30</v>
      </c>
      <c r="I46" s="3" t="s">
        <v>31</v>
      </c>
      <c r="J46" s="3" t="s">
        <v>32</v>
      </c>
      <c r="K46" s="8">
        <v>43584.712500000001</v>
      </c>
      <c r="L46" s="8">
        <v>43563.868750000001</v>
      </c>
      <c r="M46" s="3">
        <v>0</v>
      </c>
      <c r="N46" s="3">
        <v>1</v>
      </c>
      <c r="O46" s="3" t="s">
        <v>33</v>
      </c>
      <c r="P46" s="10" t="s">
        <v>576</v>
      </c>
      <c r="Q46" s="3" t="s">
        <v>43</v>
      </c>
      <c r="R46" s="3">
        <v>15</v>
      </c>
      <c r="S46" s="3">
        <v>1</v>
      </c>
      <c r="T46" s="10" t="s">
        <v>576</v>
      </c>
      <c r="U46" s="10" t="s">
        <v>576</v>
      </c>
      <c r="V46" s="3" t="s">
        <v>37</v>
      </c>
      <c r="W46" s="11" cm="1">
        <f t="array" ref="W46">IF(H46="Request","No SLA for Request", IF(F46="Emergency",B46+(4/24), WORKDAY(B46, _xlfn.IFS(F46="High", 3, F46="Normal", 5, F46="Low", 10))))</f>
        <v>43563.535416666666</v>
      </c>
      <c r="X46" t="str">
        <f t="shared" si="0"/>
        <v>Yes</v>
      </c>
    </row>
    <row r="47" spans="1:24" ht="12.75" x14ac:dyDescent="0.2">
      <c r="A47" s="3">
        <v>111181</v>
      </c>
      <c r="B47" s="8">
        <v>43577.379861111112</v>
      </c>
      <c r="C47" s="3" t="s">
        <v>233</v>
      </c>
      <c r="D47" s="3" t="s">
        <v>78</v>
      </c>
      <c r="E47" s="3" t="s">
        <v>79</v>
      </c>
      <c r="F47" s="3" t="s">
        <v>28</v>
      </c>
      <c r="G47" s="3" t="s">
        <v>29</v>
      </c>
      <c r="H47" s="3" t="s">
        <v>30</v>
      </c>
      <c r="I47" s="3" t="s">
        <v>31</v>
      </c>
      <c r="J47" s="3" t="s">
        <v>32</v>
      </c>
      <c r="K47" s="8">
        <v>43579.734722222223</v>
      </c>
      <c r="L47" s="8">
        <v>43577.879861111112</v>
      </c>
      <c r="M47" s="3">
        <v>0</v>
      </c>
      <c r="N47" s="3">
        <v>1</v>
      </c>
      <c r="O47" s="3" t="s">
        <v>33</v>
      </c>
      <c r="P47" s="10" t="s">
        <v>576</v>
      </c>
      <c r="Q47" s="3" t="s">
        <v>43</v>
      </c>
      <c r="R47" s="3">
        <v>18</v>
      </c>
      <c r="S47" s="3">
        <v>5</v>
      </c>
      <c r="T47" s="10" t="s">
        <v>576</v>
      </c>
      <c r="U47" s="10" t="s">
        <v>576</v>
      </c>
      <c r="V47" s="3" t="s">
        <v>37</v>
      </c>
      <c r="W47" s="11" cm="1">
        <f t="array" ref="W47">IF(H47="Request","No SLA for Request", IF(F47="Emergency",B47+(4/24), WORKDAY(B47, _xlfn.IFS(F47="High", 3, F47="Normal", 5, F47="Low", 10))))</f>
        <v>43577.546527777777</v>
      </c>
      <c r="X47" t="str">
        <f t="shared" si="0"/>
        <v>Yes</v>
      </c>
    </row>
    <row r="48" spans="1:24" ht="12.75" x14ac:dyDescent="0.2">
      <c r="A48" s="3">
        <v>111178</v>
      </c>
      <c r="B48" s="8">
        <v>43572.474999999999</v>
      </c>
      <c r="C48" s="3" t="s">
        <v>234</v>
      </c>
      <c r="D48" s="3" t="s">
        <v>78</v>
      </c>
      <c r="E48" s="3" t="s">
        <v>79</v>
      </c>
      <c r="F48" s="3" t="s">
        <v>28</v>
      </c>
      <c r="G48" s="3" t="s">
        <v>29</v>
      </c>
      <c r="H48" s="3" t="s">
        <v>30</v>
      </c>
      <c r="I48" s="3" t="s">
        <v>31</v>
      </c>
      <c r="J48" s="3" t="s">
        <v>32</v>
      </c>
      <c r="K48" s="8">
        <v>43579.734027777777</v>
      </c>
      <c r="L48" s="8">
        <v>43572.974999999999</v>
      </c>
      <c r="M48" s="3">
        <v>0</v>
      </c>
      <c r="N48" s="3">
        <v>1</v>
      </c>
      <c r="O48" s="3" t="s">
        <v>33</v>
      </c>
      <c r="P48" s="10" t="s">
        <v>576</v>
      </c>
      <c r="Q48" s="3" t="s">
        <v>43</v>
      </c>
      <c r="R48" s="3">
        <v>13</v>
      </c>
      <c r="S48" s="3">
        <v>1</v>
      </c>
      <c r="T48" s="10" t="s">
        <v>576</v>
      </c>
      <c r="U48" s="10" t="s">
        <v>576</v>
      </c>
      <c r="V48" s="3" t="s">
        <v>37</v>
      </c>
      <c r="W48" s="11" cm="1">
        <f t="array" ref="W48">IF(H48="Request","No SLA for Request", IF(F48="Emergency",B48+(4/24), WORKDAY(B48, _xlfn.IFS(F48="High", 3, F48="Normal", 5, F48="Low", 10))))</f>
        <v>43572.641666666663</v>
      </c>
      <c r="X48" t="str">
        <f t="shared" si="0"/>
        <v>Yes</v>
      </c>
    </row>
    <row r="49" spans="1:24" ht="12.75" x14ac:dyDescent="0.2">
      <c r="A49" s="3">
        <v>111108</v>
      </c>
      <c r="B49" s="8">
        <v>43497.079861111109</v>
      </c>
      <c r="C49" s="3" t="s">
        <v>204</v>
      </c>
      <c r="D49" s="3" t="s">
        <v>78</v>
      </c>
      <c r="E49" s="3" t="s">
        <v>79</v>
      </c>
      <c r="F49" s="3" t="s">
        <v>28</v>
      </c>
      <c r="G49" s="3" t="s">
        <v>29</v>
      </c>
      <c r="H49" s="3" t="s">
        <v>30</v>
      </c>
      <c r="I49" s="3" t="s">
        <v>61</v>
      </c>
      <c r="J49" s="3" t="s">
        <v>32</v>
      </c>
      <c r="K49" s="8">
        <v>43556.635416666664</v>
      </c>
      <c r="L49" s="8">
        <v>43497.579861111109</v>
      </c>
      <c r="M49" s="3">
        <v>0</v>
      </c>
      <c r="N49" s="3">
        <v>1</v>
      </c>
      <c r="O49" s="3" t="s">
        <v>58</v>
      </c>
      <c r="P49" s="10" t="s">
        <v>576</v>
      </c>
      <c r="Q49" s="3" t="s">
        <v>43</v>
      </c>
      <c r="R49" s="3">
        <v>15</v>
      </c>
      <c r="S49" s="3">
        <v>7</v>
      </c>
      <c r="T49" s="10" t="s">
        <v>576</v>
      </c>
      <c r="U49" s="10" t="s">
        <v>576</v>
      </c>
      <c r="V49" s="3" t="s">
        <v>37</v>
      </c>
      <c r="W49" s="11" cm="1">
        <f t="array" ref="W49">IF(H49="Request","No SLA for Request", IF(F49="Emergency",B49+(4/24), WORKDAY(B49, _xlfn.IFS(F49="High", 3, F49="Normal", 5, F49="Low", 10))))</f>
        <v>43497.246527777774</v>
      </c>
      <c r="X49" t="str">
        <f t="shared" si="0"/>
        <v>Yes</v>
      </c>
    </row>
    <row r="50" spans="1:24" ht="12.75" x14ac:dyDescent="0.2">
      <c r="A50" s="3">
        <v>111117</v>
      </c>
      <c r="B50" s="8">
        <v>43497.580555555556</v>
      </c>
      <c r="C50" s="3" t="s">
        <v>235</v>
      </c>
      <c r="D50" s="3" t="s">
        <v>49</v>
      </c>
      <c r="E50" s="3" t="s">
        <v>50</v>
      </c>
      <c r="F50" s="3" t="s">
        <v>28</v>
      </c>
      <c r="G50" s="3" t="s">
        <v>29</v>
      </c>
      <c r="H50" s="3" t="s">
        <v>30</v>
      </c>
      <c r="I50" s="3" t="s">
        <v>31</v>
      </c>
      <c r="J50" s="3" t="s">
        <v>32</v>
      </c>
      <c r="K50" s="8">
        <v>43516.606944444444</v>
      </c>
      <c r="L50" s="8">
        <v>43498.080555555556</v>
      </c>
      <c r="M50" s="3">
        <v>0</v>
      </c>
      <c r="N50" s="3">
        <v>1</v>
      </c>
      <c r="O50" s="3" t="s">
        <v>85</v>
      </c>
      <c r="P50" s="10" t="s">
        <v>576</v>
      </c>
      <c r="Q50" s="3" t="s">
        <v>34</v>
      </c>
      <c r="R50" s="3">
        <v>18</v>
      </c>
      <c r="S50" s="3">
        <v>6</v>
      </c>
      <c r="T50" s="10" t="s">
        <v>576</v>
      </c>
      <c r="U50" s="10" t="s">
        <v>576</v>
      </c>
      <c r="V50" s="3" t="s">
        <v>37</v>
      </c>
      <c r="W50" s="11" cm="1">
        <f t="array" ref="W50">IF(H50="Request","No SLA for Request", IF(F50="Emergency",B50+(4/24), WORKDAY(B50, _xlfn.IFS(F50="High", 3, F50="Normal", 5, F50="Low", 10))))</f>
        <v>43497.74722222222</v>
      </c>
      <c r="X50" t="str">
        <f t="shared" si="0"/>
        <v>Yes</v>
      </c>
    </row>
    <row r="51" spans="1:24" ht="12.75" x14ac:dyDescent="0.2">
      <c r="A51" s="3">
        <v>135991</v>
      </c>
      <c r="B51" s="8">
        <v>43381.022222222222</v>
      </c>
      <c r="C51" s="3" t="s">
        <v>236</v>
      </c>
      <c r="D51" s="3" t="s">
        <v>86</v>
      </c>
      <c r="E51" s="3" t="s">
        <v>87</v>
      </c>
      <c r="F51" s="3" t="s">
        <v>28</v>
      </c>
      <c r="G51" s="3" t="s">
        <v>577</v>
      </c>
      <c r="H51" s="3" t="s">
        <v>53</v>
      </c>
      <c r="I51" s="3" t="s">
        <v>31</v>
      </c>
      <c r="J51" s="3" t="s">
        <v>41</v>
      </c>
      <c r="K51" s="8">
        <v>43440.04791666667</v>
      </c>
      <c r="L51" s="8">
        <v>43739.708333333336</v>
      </c>
      <c r="M51" s="3">
        <v>1</v>
      </c>
      <c r="N51" s="3">
        <v>1</v>
      </c>
      <c r="O51" s="3" t="s">
        <v>58</v>
      </c>
      <c r="P51" s="10" t="s">
        <v>576</v>
      </c>
      <c r="Q51" s="3" t="s">
        <v>88</v>
      </c>
      <c r="R51" s="3">
        <v>8</v>
      </c>
      <c r="S51" s="3">
        <v>3</v>
      </c>
      <c r="T51" s="10" t="s">
        <v>576</v>
      </c>
      <c r="U51" s="10" t="s">
        <v>576</v>
      </c>
      <c r="V51" s="10" t="s">
        <v>576</v>
      </c>
      <c r="W51" s="11" t="str" cm="1">
        <f t="array" ref="W51">IF(H51="Request","No SLA for Request", IF(F51="Emergency",B51+(4/24), WORKDAY(B51, _xlfn.IFS(F51="High", 3, F51="Normal", 5, F51="Low", 10))))</f>
        <v>No SLA for Request</v>
      </c>
      <c r="X51" t="str">
        <f t="shared" si="0"/>
        <v>N/A</v>
      </c>
    </row>
    <row r="52" spans="1:24" ht="12.75" x14ac:dyDescent="0.2">
      <c r="A52" s="3">
        <v>111478</v>
      </c>
      <c r="B52" s="8">
        <v>44042.560416666667</v>
      </c>
      <c r="C52" s="3" t="s">
        <v>89</v>
      </c>
      <c r="D52" s="3" t="s">
        <v>90</v>
      </c>
      <c r="E52" s="3" t="s">
        <v>91</v>
      </c>
      <c r="F52" s="3" t="s">
        <v>92</v>
      </c>
      <c r="G52" s="3" t="s">
        <v>29</v>
      </c>
      <c r="H52" s="3" t="s">
        <v>30</v>
      </c>
      <c r="I52" s="3" t="s">
        <v>31</v>
      </c>
      <c r="J52" s="3" t="s">
        <v>51</v>
      </c>
      <c r="K52" s="8">
        <v>44294.637499999997</v>
      </c>
      <c r="L52" s="8">
        <v>44042.810416666667</v>
      </c>
      <c r="M52" s="3">
        <v>1</v>
      </c>
      <c r="N52" s="3">
        <v>1</v>
      </c>
      <c r="O52" s="3" t="s">
        <v>42</v>
      </c>
      <c r="P52" s="10" t="s">
        <v>576</v>
      </c>
      <c r="Q52" s="3" t="s">
        <v>43</v>
      </c>
      <c r="R52" s="3">
        <v>132</v>
      </c>
      <c r="S52" s="3">
        <v>25</v>
      </c>
      <c r="T52" s="3" t="s">
        <v>35</v>
      </c>
      <c r="U52" s="3" t="s">
        <v>36</v>
      </c>
      <c r="V52" s="3" t="s">
        <v>37</v>
      </c>
      <c r="W52" s="11" cm="1">
        <f t="array" ref="W52">IF(H52="Request","No SLA for Request", IF(F52="Emergency",B52+(4/24), WORKDAY(B52, _xlfn.IFS(F52="High", 3, F52="Normal", 5, F52="Low", 10))))</f>
        <v>44047</v>
      </c>
      <c r="X52" t="str">
        <f t="shared" si="0"/>
        <v>Yes</v>
      </c>
    </row>
    <row r="53" spans="1:24" ht="12.75" x14ac:dyDescent="0.2">
      <c r="A53" s="3">
        <v>111633</v>
      </c>
      <c r="B53" s="8">
        <v>44266.445138888892</v>
      </c>
      <c r="C53" s="3" t="s">
        <v>93</v>
      </c>
      <c r="D53" s="3" t="s">
        <v>26</v>
      </c>
      <c r="E53" s="3" t="s">
        <v>27</v>
      </c>
      <c r="F53" s="3" t="s">
        <v>92</v>
      </c>
      <c r="G53" s="3" t="s">
        <v>29</v>
      </c>
      <c r="H53" s="3" t="s">
        <v>30</v>
      </c>
      <c r="I53" s="3" t="s">
        <v>31</v>
      </c>
      <c r="J53" s="3" t="s">
        <v>41</v>
      </c>
      <c r="K53" s="8">
        <v>44293.628472222219</v>
      </c>
      <c r="L53" s="8">
        <v>44271.445138888892</v>
      </c>
      <c r="M53" s="3">
        <v>1</v>
      </c>
      <c r="N53" s="3">
        <v>0</v>
      </c>
      <c r="O53" s="3" t="s">
        <v>42</v>
      </c>
      <c r="P53" s="10" t="s">
        <v>576</v>
      </c>
      <c r="Q53" s="3" t="s">
        <v>34</v>
      </c>
      <c r="R53" s="3">
        <v>32</v>
      </c>
      <c r="S53" s="3">
        <v>8</v>
      </c>
      <c r="T53" s="3" t="s">
        <v>35</v>
      </c>
      <c r="U53" s="3" t="s">
        <v>36</v>
      </c>
      <c r="V53" s="3" t="s">
        <v>37</v>
      </c>
      <c r="W53" s="11" cm="1">
        <f t="array" ref="W53">IF(H53="Request","No SLA for Request", IF(F53="Emergency",B53+(4/24), WORKDAY(B53, _xlfn.IFS(F53="High", 3, F53="Normal", 5, F53="Low", 10))))</f>
        <v>44271</v>
      </c>
      <c r="X53" t="str">
        <f t="shared" si="0"/>
        <v>Yes</v>
      </c>
    </row>
    <row r="54" spans="1:24" ht="12.75" x14ac:dyDescent="0.2">
      <c r="A54" s="3">
        <v>111649</v>
      </c>
      <c r="B54" s="8">
        <v>44278.693749999999</v>
      </c>
      <c r="C54" s="3" t="s">
        <v>237</v>
      </c>
      <c r="D54" s="3" t="s">
        <v>26</v>
      </c>
      <c r="E54" s="3" t="s">
        <v>27</v>
      </c>
      <c r="F54" s="3" t="s">
        <v>92</v>
      </c>
      <c r="G54" s="3" t="s">
        <v>29</v>
      </c>
      <c r="H54" s="3" t="s">
        <v>30</v>
      </c>
      <c r="I54" s="3" t="s">
        <v>31</v>
      </c>
      <c r="J54" s="3" t="s">
        <v>51</v>
      </c>
      <c r="K54" s="8">
        <v>44291.368055555555</v>
      </c>
      <c r="L54" s="8">
        <v>45191.193749999999</v>
      </c>
      <c r="M54" s="3">
        <v>0</v>
      </c>
      <c r="N54" s="3">
        <v>1</v>
      </c>
      <c r="O54" s="3" t="s">
        <v>42</v>
      </c>
      <c r="P54" s="10" t="s">
        <v>576</v>
      </c>
      <c r="Q54" s="3" t="s">
        <v>34</v>
      </c>
      <c r="R54" s="3">
        <v>6</v>
      </c>
      <c r="S54" s="3">
        <v>2</v>
      </c>
      <c r="T54" s="3" t="s">
        <v>35</v>
      </c>
      <c r="U54" s="3" t="s">
        <v>36</v>
      </c>
      <c r="V54" s="3" t="s">
        <v>37</v>
      </c>
      <c r="W54" s="11" cm="1">
        <f t="array" ref="W54">IF(H54="Request","No SLA for Request", IF(F54="Emergency",B54+(4/24), WORKDAY(B54, _xlfn.IFS(F54="High", 3, F54="Normal", 5, F54="Low", 10))))</f>
        <v>44281</v>
      </c>
      <c r="X54" t="str">
        <f t="shared" si="0"/>
        <v>Yes</v>
      </c>
    </row>
    <row r="55" spans="1:24" ht="12.75" x14ac:dyDescent="0.2">
      <c r="A55" s="3">
        <v>111570</v>
      </c>
      <c r="B55" s="8">
        <v>44169.399305555555</v>
      </c>
      <c r="C55" s="3" t="s">
        <v>94</v>
      </c>
      <c r="D55" s="3" t="s">
        <v>90</v>
      </c>
      <c r="E55" s="3" t="s">
        <v>91</v>
      </c>
      <c r="F55" s="3" t="s">
        <v>92</v>
      </c>
      <c r="G55" s="3" t="s">
        <v>29</v>
      </c>
      <c r="H55" s="3" t="s">
        <v>30</v>
      </c>
      <c r="I55" s="3" t="s">
        <v>31</v>
      </c>
      <c r="J55" s="3" t="s">
        <v>41</v>
      </c>
      <c r="K55" s="8">
        <v>44286.494444444441</v>
      </c>
      <c r="L55" s="8">
        <v>44169.649305555555</v>
      </c>
      <c r="M55" s="3">
        <v>1</v>
      </c>
      <c r="N55" s="3">
        <v>1</v>
      </c>
      <c r="O55" s="3" t="s">
        <v>42</v>
      </c>
      <c r="P55" s="10" t="s">
        <v>576</v>
      </c>
      <c r="Q55" s="3" t="s">
        <v>43</v>
      </c>
      <c r="R55" s="3">
        <v>38</v>
      </c>
      <c r="S55" s="3">
        <v>5</v>
      </c>
      <c r="T55" s="3" t="s">
        <v>35</v>
      </c>
      <c r="U55" s="3" t="s">
        <v>36</v>
      </c>
      <c r="V55" s="3" t="s">
        <v>37</v>
      </c>
      <c r="W55" s="11" cm="1">
        <f t="array" ref="W55">IF(H55="Request","No SLA for Request", IF(F55="Emergency",B55+(4/24), WORKDAY(B55, _xlfn.IFS(F55="High", 3, F55="Normal", 5, F55="Low", 10))))</f>
        <v>44174</v>
      </c>
      <c r="X55" t="str">
        <f t="shared" si="0"/>
        <v>Yes</v>
      </c>
    </row>
    <row r="56" spans="1:24" ht="12.75" x14ac:dyDescent="0.2">
      <c r="A56" s="3">
        <v>111501</v>
      </c>
      <c r="B56" s="8">
        <v>44083.560416666667</v>
      </c>
      <c r="C56" s="3" t="s">
        <v>95</v>
      </c>
      <c r="D56" s="3" t="s">
        <v>96</v>
      </c>
      <c r="E56" s="3" t="s">
        <v>97</v>
      </c>
      <c r="F56" s="3" t="s">
        <v>92</v>
      </c>
      <c r="G56" s="3" t="s">
        <v>29</v>
      </c>
      <c r="H56" s="3" t="s">
        <v>30</v>
      </c>
      <c r="I56" s="3" t="s">
        <v>31</v>
      </c>
      <c r="J56" s="3" t="s">
        <v>32</v>
      </c>
      <c r="K56" s="8">
        <v>44270.788888888892</v>
      </c>
      <c r="L56" s="8">
        <v>44086.560416666667</v>
      </c>
      <c r="M56" s="3">
        <v>0</v>
      </c>
      <c r="N56" s="3">
        <v>1</v>
      </c>
      <c r="O56" s="3" t="s">
        <v>33</v>
      </c>
      <c r="P56" s="10" t="s">
        <v>576</v>
      </c>
      <c r="Q56" s="3" t="s">
        <v>43</v>
      </c>
      <c r="R56" s="3">
        <v>59</v>
      </c>
      <c r="S56" s="3">
        <v>8</v>
      </c>
      <c r="T56" s="3" t="s">
        <v>35</v>
      </c>
      <c r="U56" s="3" t="s">
        <v>36</v>
      </c>
      <c r="V56" s="3" t="s">
        <v>37</v>
      </c>
      <c r="W56" s="11" cm="1">
        <f t="array" ref="W56">IF(H56="Request","No SLA for Request", IF(F56="Emergency",B56+(4/24), WORKDAY(B56, _xlfn.IFS(F56="High", 3, F56="Normal", 5, F56="Low", 10))))</f>
        <v>44088</v>
      </c>
      <c r="X56" t="str">
        <f t="shared" si="0"/>
        <v>Yes</v>
      </c>
    </row>
    <row r="57" spans="1:24" ht="12.75" x14ac:dyDescent="0.2">
      <c r="A57" s="3">
        <v>111590</v>
      </c>
      <c r="B57" s="8">
        <v>44206.899305555555</v>
      </c>
      <c r="C57" s="3" t="s">
        <v>238</v>
      </c>
      <c r="D57" s="3" t="s">
        <v>60</v>
      </c>
      <c r="E57" s="3" t="s">
        <v>581</v>
      </c>
      <c r="F57" s="3" t="s">
        <v>92</v>
      </c>
      <c r="G57" s="3" t="s">
        <v>29</v>
      </c>
      <c r="H57" s="3" t="s">
        <v>30</v>
      </c>
      <c r="I57" s="3" t="s">
        <v>31</v>
      </c>
      <c r="J57" s="3" t="s">
        <v>32</v>
      </c>
      <c r="K57" s="8">
        <v>44235.709722222222</v>
      </c>
      <c r="L57" s="8">
        <v>44207.149305555555</v>
      </c>
      <c r="M57" s="3">
        <v>0</v>
      </c>
      <c r="N57" s="3">
        <v>1</v>
      </c>
      <c r="O57" s="3" t="s">
        <v>33</v>
      </c>
      <c r="P57" s="10" t="s">
        <v>576</v>
      </c>
      <c r="Q57" s="3" t="s">
        <v>43</v>
      </c>
      <c r="R57" s="3">
        <v>13</v>
      </c>
      <c r="S57" s="3">
        <v>4</v>
      </c>
      <c r="T57" s="3" t="s">
        <v>35</v>
      </c>
      <c r="U57" s="3" t="s">
        <v>36</v>
      </c>
      <c r="V57" s="3" t="s">
        <v>37</v>
      </c>
      <c r="W57" s="11" cm="1">
        <f t="array" ref="W57">IF(H57="Request","No SLA for Request", IF(F57="Emergency",B57+(4/24), WORKDAY(B57, _xlfn.IFS(F57="High", 3, F57="Normal", 5, F57="Low", 10))))</f>
        <v>44209</v>
      </c>
      <c r="X57" t="str">
        <f t="shared" si="0"/>
        <v>Yes</v>
      </c>
    </row>
    <row r="58" spans="1:24" ht="12.75" x14ac:dyDescent="0.2">
      <c r="A58" s="3">
        <v>111597</v>
      </c>
      <c r="B58" s="8">
        <v>44218.582638888889</v>
      </c>
      <c r="C58" s="3" t="s">
        <v>239</v>
      </c>
      <c r="D58" s="3" t="s">
        <v>60</v>
      </c>
      <c r="E58" s="3" t="s">
        <v>581</v>
      </c>
      <c r="F58" s="3" t="s">
        <v>92</v>
      </c>
      <c r="G58" s="3" t="s">
        <v>29</v>
      </c>
      <c r="H58" s="3" t="s">
        <v>30</v>
      </c>
      <c r="I58" s="3" t="s">
        <v>31</v>
      </c>
      <c r="J58" s="3" t="s">
        <v>32</v>
      </c>
      <c r="K58" s="8">
        <v>44232.729861111111</v>
      </c>
      <c r="L58" s="8">
        <v>44218.832638888889</v>
      </c>
      <c r="M58" s="3">
        <v>0</v>
      </c>
      <c r="N58" s="3">
        <v>1</v>
      </c>
      <c r="O58" s="3" t="s">
        <v>33</v>
      </c>
      <c r="P58" s="10" t="s">
        <v>576</v>
      </c>
      <c r="Q58" s="3" t="s">
        <v>43</v>
      </c>
      <c r="R58" s="3">
        <v>14</v>
      </c>
      <c r="S58" s="3">
        <v>5</v>
      </c>
      <c r="T58" s="3" t="s">
        <v>35</v>
      </c>
      <c r="U58" s="3" t="s">
        <v>36</v>
      </c>
      <c r="V58" s="3" t="s">
        <v>37</v>
      </c>
      <c r="W58" s="11" cm="1">
        <f t="array" ref="W58">IF(H58="Request","No SLA for Request", IF(F58="Emergency",B58+(4/24), WORKDAY(B58, _xlfn.IFS(F58="High", 3, F58="Normal", 5, F58="Low", 10))))</f>
        <v>44223</v>
      </c>
      <c r="X58" t="str">
        <f t="shared" si="0"/>
        <v>Yes</v>
      </c>
    </row>
    <row r="59" spans="1:24" ht="12.75" x14ac:dyDescent="0.2">
      <c r="A59" s="3">
        <v>111601</v>
      </c>
      <c r="B59" s="8">
        <v>44224.713194444441</v>
      </c>
      <c r="C59" s="3" t="s">
        <v>98</v>
      </c>
      <c r="D59" s="3" t="s">
        <v>49</v>
      </c>
      <c r="E59" s="3" t="s">
        <v>50</v>
      </c>
      <c r="F59" s="3" t="s">
        <v>92</v>
      </c>
      <c r="G59" s="3" t="s">
        <v>29</v>
      </c>
      <c r="H59" s="3" t="s">
        <v>30</v>
      </c>
      <c r="I59" s="3" t="s">
        <v>31</v>
      </c>
      <c r="J59" s="3" t="s">
        <v>32</v>
      </c>
      <c r="K59" s="8">
        <v>44225.718055555553</v>
      </c>
      <c r="L59" s="8">
        <v>44224.963194444441</v>
      </c>
      <c r="M59" s="3">
        <v>0</v>
      </c>
      <c r="N59" s="3">
        <v>1</v>
      </c>
      <c r="O59" s="3" t="s">
        <v>33</v>
      </c>
      <c r="P59" s="10" t="s">
        <v>576</v>
      </c>
      <c r="Q59" s="3" t="s">
        <v>34</v>
      </c>
      <c r="R59" s="3">
        <v>6</v>
      </c>
      <c r="S59" s="3">
        <v>2</v>
      </c>
      <c r="T59" s="3" t="s">
        <v>35</v>
      </c>
      <c r="U59" s="3" t="s">
        <v>36</v>
      </c>
      <c r="V59" s="3" t="s">
        <v>48</v>
      </c>
      <c r="W59" s="11" cm="1">
        <f t="array" ref="W59">IF(H59="Request","No SLA for Request", IF(F59="Emergency",B59+(4/24), WORKDAY(B59, _xlfn.IFS(F59="High", 3, F59="Normal", 5, F59="Low", 10))))</f>
        <v>44229</v>
      </c>
      <c r="X59" t="str">
        <f t="shared" si="0"/>
        <v>No</v>
      </c>
    </row>
    <row r="60" spans="1:24" ht="12.75" x14ac:dyDescent="0.2">
      <c r="A60" s="3">
        <v>111549</v>
      </c>
      <c r="B60" s="8">
        <v>44145.427777777775</v>
      </c>
      <c r="C60" s="3" t="s">
        <v>240</v>
      </c>
      <c r="D60" s="3" t="s">
        <v>56</v>
      </c>
      <c r="E60" s="3" t="s">
        <v>57</v>
      </c>
      <c r="F60" s="3" t="s">
        <v>92</v>
      </c>
      <c r="G60" s="3" t="s">
        <v>29</v>
      </c>
      <c r="H60" s="3" t="s">
        <v>30</v>
      </c>
      <c r="I60" s="3" t="s">
        <v>31</v>
      </c>
      <c r="J60" s="3" t="s">
        <v>32</v>
      </c>
      <c r="K60" s="8">
        <v>44218.755555555559</v>
      </c>
      <c r="L60" s="8">
        <v>44145.927777777775</v>
      </c>
      <c r="M60" s="3">
        <v>0</v>
      </c>
      <c r="N60" s="3">
        <v>1</v>
      </c>
      <c r="O60" s="3" t="s">
        <v>33</v>
      </c>
      <c r="P60" s="10" t="s">
        <v>576</v>
      </c>
      <c r="Q60" s="3" t="s">
        <v>43</v>
      </c>
      <c r="R60" s="3">
        <v>19</v>
      </c>
      <c r="S60" s="3">
        <v>11</v>
      </c>
      <c r="T60" s="3" t="s">
        <v>35</v>
      </c>
      <c r="U60" s="3" t="s">
        <v>36</v>
      </c>
      <c r="V60" s="3" t="s">
        <v>48</v>
      </c>
      <c r="W60" s="11" cm="1">
        <f t="array" ref="W60">IF(H60="Request","No SLA for Request", IF(F60="Emergency",B60+(4/24), WORKDAY(B60, _xlfn.IFS(F60="High", 3, F60="Normal", 5, F60="Low", 10))))</f>
        <v>44148</v>
      </c>
      <c r="X60" t="str">
        <f t="shared" si="0"/>
        <v>Yes</v>
      </c>
    </row>
    <row r="61" spans="1:24" ht="12.75" x14ac:dyDescent="0.2">
      <c r="A61" s="3">
        <v>111588</v>
      </c>
      <c r="B61" s="8">
        <v>44194.525694444441</v>
      </c>
      <c r="C61" s="3" t="s">
        <v>241</v>
      </c>
      <c r="D61" s="3" t="s">
        <v>70</v>
      </c>
      <c r="E61" s="3" t="s">
        <v>71</v>
      </c>
      <c r="F61" s="3" t="s">
        <v>92</v>
      </c>
      <c r="G61" s="3" t="s">
        <v>29</v>
      </c>
      <c r="H61" s="3" t="s">
        <v>53</v>
      </c>
      <c r="I61" s="3" t="s">
        <v>31</v>
      </c>
      <c r="J61" s="3" t="s">
        <v>32</v>
      </c>
      <c r="K61" s="8">
        <v>44215.734722222223</v>
      </c>
      <c r="L61" s="8">
        <v>44195.025694444441</v>
      </c>
      <c r="M61" s="3">
        <v>0</v>
      </c>
      <c r="N61" s="3">
        <v>1</v>
      </c>
      <c r="O61" s="3" t="s">
        <v>33</v>
      </c>
      <c r="P61" s="10" t="s">
        <v>576</v>
      </c>
      <c r="Q61" s="3" t="s">
        <v>43</v>
      </c>
      <c r="R61" s="3">
        <v>10</v>
      </c>
      <c r="S61" s="3">
        <v>1</v>
      </c>
      <c r="T61" s="3" t="s">
        <v>54</v>
      </c>
      <c r="U61" s="3" t="s">
        <v>55</v>
      </c>
      <c r="V61" s="3" t="s">
        <v>37</v>
      </c>
      <c r="W61" s="11" t="str" cm="1">
        <f t="array" ref="W61">IF(H61="Request","No SLA for Request", IF(F61="Emergency",B61+(4/24), WORKDAY(B61, _xlfn.IFS(F61="High", 3, F61="Normal", 5, F61="Low", 10))))</f>
        <v>No SLA for Request</v>
      </c>
      <c r="X61" t="str">
        <f t="shared" si="0"/>
        <v>N/A</v>
      </c>
    </row>
    <row r="62" spans="1:24" ht="12.75" x14ac:dyDescent="0.2">
      <c r="A62" s="3">
        <v>111565</v>
      </c>
      <c r="B62" s="8">
        <v>44166.407638888886</v>
      </c>
      <c r="C62" s="3" t="s">
        <v>242</v>
      </c>
      <c r="D62" s="3" t="s">
        <v>70</v>
      </c>
      <c r="E62" s="3" t="s">
        <v>71</v>
      </c>
      <c r="F62" s="3" t="s">
        <v>92</v>
      </c>
      <c r="G62" s="3" t="s">
        <v>29</v>
      </c>
      <c r="H62" s="3" t="s">
        <v>30</v>
      </c>
      <c r="I62" s="3" t="s">
        <v>31</v>
      </c>
      <c r="J62" s="3" t="s">
        <v>32</v>
      </c>
      <c r="K62" s="8">
        <v>44215.729861111111</v>
      </c>
      <c r="L62" s="8">
        <v>44166.907638888886</v>
      </c>
      <c r="M62" s="3">
        <v>0</v>
      </c>
      <c r="N62" s="3">
        <v>1</v>
      </c>
      <c r="O62" s="3" t="s">
        <v>33</v>
      </c>
      <c r="P62" s="10" t="s">
        <v>576</v>
      </c>
      <c r="Q62" s="3" t="s">
        <v>43</v>
      </c>
      <c r="R62" s="3">
        <v>14</v>
      </c>
      <c r="S62" s="3">
        <v>2</v>
      </c>
      <c r="T62" s="3" t="s">
        <v>35</v>
      </c>
      <c r="U62" s="3" t="s">
        <v>36</v>
      </c>
      <c r="V62" s="3" t="s">
        <v>37</v>
      </c>
      <c r="W62" s="11" cm="1">
        <f t="array" ref="W62">IF(H62="Request","No SLA for Request", IF(F62="Emergency",B62+(4/24), WORKDAY(B62, _xlfn.IFS(F62="High", 3, F62="Normal", 5, F62="Low", 10))))</f>
        <v>44169</v>
      </c>
      <c r="X62" t="str">
        <f t="shared" si="0"/>
        <v>Yes</v>
      </c>
    </row>
    <row r="63" spans="1:24" ht="12.75" x14ac:dyDescent="0.2">
      <c r="A63" s="3">
        <v>111587</v>
      </c>
      <c r="B63" s="8">
        <v>44194.515277777777</v>
      </c>
      <c r="C63" s="3" t="s">
        <v>243</v>
      </c>
      <c r="D63" s="3" t="s">
        <v>26</v>
      </c>
      <c r="E63" s="3" t="s">
        <v>27</v>
      </c>
      <c r="F63" s="3" t="s">
        <v>92</v>
      </c>
      <c r="G63" s="3" t="s">
        <v>29</v>
      </c>
      <c r="H63" s="3" t="s">
        <v>30</v>
      </c>
      <c r="I63" s="3" t="s">
        <v>31</v>
      </c>
      <c r="J63" s="3" t="s">
        <v>32</v>
      </c>
      <c r="K63" s="8">
        <v>44209.711111111108</v>
      </c>
      <c r="L63" s="8">
        <v>44195.015277777777</v>
      </c>
      <c r="M63" s="3">
        <v>0</v>
      </c>
      <c r="N63" s="3">
        <v>1</v>
      </c>
      <c r="O63" s="3" t="s">
        <v>33</v>
      </c>
      <c r="P63" s="10" t="s">
        <v>576</v>
      </c>
      <c r="Q63" s="3" t="s">
        <v>34</v>
      </c>
      <c r="R63" s="3">
        <v>7</v>
      </c>
      <c r="S63" s="3">
        <v>2</v>
      </c>
      <c r="T63" s="3" t="s">
        <v>54</v>
      </c>
      <c r="U63" s="3" t="s">
        <v>36</v>
      </c>
      <c r="V63" s="3" t="s">
        <v>37</v>
      </c>
      <c r="W63" s="11" cm="1">
        <f t="array" ref="W63">IF(H63="Request","No SLA for Request", IF(F63="Emergency",B63+(4/24), WORKDAY(B63, _xlfn.IFS(F63="High", 3, F63="Normal", 5, F63="Low", 10))))</f>
        <v>44197</v>
      </c>
      <c r="X63" t="str">
        <f t="shared" si="0"/>
        <v>Yes</v>
      </c>
    </row>
    <row r="64" spans="1:24" ht="12.75" x14ac:dyDescent="0.2">
      <c r="A64" s="3">
        <v>111574</v>
      </c>
      <c r="B64" s="8">
        <v>44175.411111111112</v>
      </c>
      <c r="C64" s="3" t="s">
        <v>244</v>
      </c>
      <c r="D64" s="3" t="s">
        <v>49</v>
      </c>
      <c r="E64" s="3" t="s">
        <v>50</v>
      </c>
      <c r="F64" s="3" t="s">
        <v>92</v>
      </c>
      <c r="G64" s="3" t="s">
        <v>29</v>
      </c>
      <c r="H64" s="3" t="s">
        <v>30</v>
      </c>
      <c r="I64" s="3" t="s">
        <v>31</v>
      </c>
      <c r="J64" s="3" t="s">
        <v>32</v>
      </c>
      <c r="K64" s="8">
        <v>44200.740277777775</v>
      </c>
      <c r="L64" s="8">
        <v>44175.911111111112</v>
      </c>
      <c r="M64" s="3">
        <v>0</v>
      </c>
      <c r="N64" s="3">
        <v>1</v>
      </c>
      <c r="O64" s="3" t="s">
        <v>33</v>
      </c>
      <c r="P64" s="10" t="s">
        <v>576</v>
      </c>
      <c r="Q64" s="3" t="s">
        <v>34</v>
      </c>
      <c r="R64" s="3">
        <v>5</v>
      </c>
      <c r="S64" s="3">
        <v>1</v>
      </c>
      <c r="T64" s="3" t="s">
        <v>35</v>
      </c>
      <c r="U64" s="3" t="s">
        <v>36</v>
      </c>
      <c r="V64" s="3" t="s">
        <v>51</v>
      </c>
      <c r="W64" s="11" cm="1">
        <f t="array" ref="W64">IF(H64="Request","No SLA for Request", IF(F64="Emergency",B64+(4/24), WORKDAY(B64, _xlfn.IFS(F64="High", 3, F64="Normal", 5, F64="Low", 10))))</f>
        <v>44180</v>
      </c>
      <c r="X64" t="str">
        <f t="shared" si="0"/>
        <v>Yes</v>
      </c>
    </row>
    <row r="65" spans="1:24" ht="12.75" x14ac:dyDescent="0.2">
      <c r="A65" s="3">
        <v>111577</v>
      </c>
      <c r="B65" s="8">
        <v>44175.427083333336</v>
      </c>
      <c r="C65" s="3" t="s">
        <v>245</v>
      </c>
      <c r="D65" s="3" t="s">
        <v>49</v>
      </c>
      <c r="E65" s="3" t="s">
        <v>50</v>
      </c>
      <c r="F65" s="3" t="s">
        <v>92</v>
      </c>
      <c r="G65" s="3" t="s">
        <v>29</v>
      </c>
      <c r="H65" s="3" t="s">
        <v>30</v>
      </c>
      <c r="I65" s="3" t="s">
        <v>31</v>
      </c>
      <c r="J65" s="3" t="s">
        <v>32</v>
      </c>
      <c r="K65" s="8">
        <v>44200.737500000003</v>
      </c>
      <c r="L65" s="8">
        <v>44175.927083333336</v>
      </c>
      <c r="M65" s="3">
        <v>0</v>
      </c>
      <c r="N65" s="3">
        <v>1</v>
      </c>
      <c r="O65" s="3" t="s">
        <v>33</v>
      </c>
      <c r="P65" s="10" t="s">
        <v>576</v>
      </c>
      <c r="Q65" s="3" t="s">
        <v>34</v>
      </c>
      <c r="R65" s="3">
        <v>5</v>
      </c>
      <c r="S65" s="3">
        <v>1</v>
      </c>
      <c r="T65" s="3" t="s">
        <v>35</v>
      </c>
      <c r="U65" s="3" t="s">
        <v>36</v>
      </c>
      <c r="V65" s="3" t="s">
        <v>51</v>
      </c>
      <c r="W65" s="11" cm="1">
        <f t="array" ref="W65">IF(H65="Request","No SLA for Request", IF(F65="Emergency",B65+(4/24), WORKDAY(B65, _xlfn.IFS(F65="High", 3, F65="Normal", 5, F65="Low", 10))))</f>
        <v>44180</v>
      </c>
      <c r="X65" t="str">
        <f t="shared" si="0"/>
        <v>Yes</v>
      </c>
    </row>
    <row r="66" spans="1:24" ht="12.75" x14ac:dyDescent="0.2">
      <c r="A66" s="3">
        <v>111506</v>
      </c>
      <c r="B66" s="8">
        <v>44097.751388888886</v>
      </c>
      <c r="C66" s="3" t="s">
        <v>99</v>
      </c>
      <c r="D66" s="3" t="s">
        <v>90</v>
      </c>
      <c r="E66" s="3" t="s">
        <v>91</v>
      </c>
      <c r="F66" s="3" t="s">
        <v>92</v>
      </c>
      <c r="G66" s="3" t="s">
        <v>29</v>
      </c>
      <c r="H66" s="3" t="s">
        <v>30</v>
      </c>
      <c r="I66" s="3" t="s">
        <v>31</v>
      </c>
      <c r="J66" s="3" t="s">
        <v>51</v>
      </c>
      <c r="K66" s="8">
        <v>44174.520833333336</v>
      </c>
      <c r="L66" s="8">
        <v>44098.001388888886</v>
      </c>
      <c r="M66" s="3">
        <v>1</v>
      </c>
      <c r="N66" s="3">
        <v>0</v>
      </c>
      <c r="O66" s="3" t="s">
        <v>42</v>
      </c>
      <c r="P66" s="10" t="s">
        <v>576</v>
      </c>
      <c r="Q66" s="3" t="s">
        <v>43</v>
      </c>
      <c r="R66" s="3">
        <v>31</v>
      </c>
      <c r="S66" s="3">
        <v>3</v>
      </c>
      <c r="T66" s="3" t="s">
        <v>35</v>
      </c>
      <c r="U66" s="3" t="s">
        <v>36</v>
      </c>
      <c r="V66" s="3" t="s">
        <v>37</v>
      </c>
      <c r="W66" s="11" cm="1">
        <f t="array" ref="W66">IF(H66="Request","No SLA for Request", IF(F66="Emergency",B66+(4/24), WORKDAY(B66, _xlfn.IFS(F66="High", 3, F66="Normal", 5, F66="Low", 10))))</f>
        <v>44102</v>
      </c>
      <c r="X66" t="str">
        <f t="shared" si="0"/>
        <v>Yes</v>
      </c>
    </row>
    <row r="67" spans="1:24" ht="12.75" x14ac:dyDescent="0.2">
      <c r="A67" s="3">
        <v>111539</v>
      </c>
      <c r="B67" s="8">
        <v>44125.636111111111</v>
      </c>
      <c r="C67" s="3" t="s">
        <v>246</v>
      </c>
      <c r="D67" s="3" t="s">
        <v>56</v>
      </c>
      <c r="E67" s="3" t="s">
        <v>57</v>
      </c>
      <c r="F67" s="3" t="s">
        <v>92</v>
      </c>
      <c r="G67" s="3" t="s">
        <v>29</v>
      </c>
      <c r="H67" s="3" t="s">
        <v>53</v>
      </c>
      <c r="I67" s="3" t="s">
        <v>31</v>
      </c>
      <c r="J67" s="3" t="s">
        <v>32</v>
      </c>
      <c r="K67" s="8">
        <v>44168.333333333336</v>
      </c>
      <c r="L67" s="8">
        <v>44126.136111111111</v>
      </c>
      <c r="M67" s="3">
        <v>0</v>
      </c>
      <c r="N67" s="3">
        <v>1</v>
      </c>
      <c r="O67" s="3" t="s">
        <v>33</v>
      </c>
      <c r="P67" s="10" t="s">
        <v>576</v>
      </c>
      <c r="Q67" s="3" t="s">
        <v>43</v>
      </c>
      <c r="R67" s="3">
        <v>7</v>
      </c>
      <c r="S67" s="3">
        <v>0</v>
      </c>
      <c r="T67" s="3" t="s">
        <v>54</v>
      </c>
      <c r="U67" s="3" t="s">
        <v>55</v>
      </c>
      <c r="V67" s="3" t="s">
        <v>48</v>
      </c>
      <c r="W67" s="11" t="str" cm="1">
        <f t="array" ref="W67">IF(H67="Request","No SLA for Request", IF(F67="Emergency",B67+(4/24), WORKDAY(B67, _xlfn.IFS(F67="High", 3, F67="Normal", 5, F67="Low", 10))))</f>
        <v>No SLA for Request</v>
      </c>
      <c r="X67" t="str">
        <f t="shared" ref="X67:X130" si="1">IF(K67&gt;=W67,"Yes",IF(W67="No SLA for Request","N/A","No"))</f>
        <v>N/A</v>
      </c>
    </row>
    <row r="68" spans="1:24" ht="12.75" x14ac:dyDescent="0.2">
      <c r="A68" s="3">
        <v>111535</v>
      </c>
      <c r="B68" s="8">
        <v>44123.416666666664</v>
      </c>
      <c r="C68" s="3" t="s">
        <v>247</v>
      </c>
      <c r="D68" s="3" t="s">
        <v>44</v>
      </c>
      <c r="E68" s="3" t="s">
        <v>45</v>
      </c>
      <c r="F68" s="3" t="s">
        <v>92</v>
      </c>
      <c r="G68" s="3" t="s">
        <v>577</v>
      </c>
      <c r="H68" s="3" t="s">
        <v>53</v>
      </c>
      <c r="I68" s="3" t="s">
        <v>31</v>
      </c>
      <c r="J68" s="3" t="s">
        <v>32</v>
      </c>
      <c r="K68" s="8">
        <v>44152.515277777777</v>
      </c>
      <c r="L68" s="8">
        <v>44123.916666666664</v>
      </c>
      <c r="M68" s="3">
        <v>0</v>
      </c>
      <c r="N68" s="3">
        <v>1</v>
      </c>
      <c r="O68" s="3" t="s">
        <v>33</v>
      </c>
      <c r="P68" s="10" t="s">
        <v>576</v>
      </c>
      <c r="Q68" s="3" t="s">
        <v>77</v>
      </c>
      <c r="R68" s="3">
        <v>4</v>
      </c>
      <c r="S68" s="3">
        <v>0</v>
      </c>
      <c r="T68" s="3" t="s">
        <v>35</v>
      </c>
      <c r="U68" s="3" t="s">
        <v>62</v>
      </c>
      <c r="V68" s="3" t="s">
        <v>37</v>
      </c>
      <c r="W68" s="11" t="str" cm="1">
        <f t="array" ref="W68">IF(H68="Request","No SLA for Request", IF(F68="Emergency",B68+(4/24), WORKDAY(B68, _xlfn.IFS(F68="High", 3, F68="Normal", 5, F68="Low", 10))))</f>
        <v>No SLA for Request</v>
      </c>
      <c r="X68" t="str">
        <f t="shared" si="1"/>
        <v>N/A</v>
      </c>
    </row>
    <row r="69" spans="1:24" ht="12.75" x14ac:dyDescent="0.2">
      <c r="A69" s="3">
        <v>111517</v>
      </c>
      <c r="B69" s="8">
        <v>44109.543749999997</v>
      </c>
      <c r="C69" s="3" t="s">
        <v>248</v>
      </c>
      <c r="D69" s="3" t="s">
        <v>49</v>
      </c>
      <c r="E69" s="3" t="s">
        <v>50</v>
      </c>
      <c r="F69" s="3" t="s">
        <v>92</v>
      </c>
      <c r="G69" s="3" t="s">
        <v>29</v>
      </c>
      <c r="H69" s="3" t="s">
        <v>30</v>
      </c>
      <c r="I69" s="3" t="s">
        <v>31</v>
      </c>
      <c r="J69" s="3" t="s">
        <v>32</v>
      </c>
      <c r="K69" s="8">
        <v>44118.719444444447</v>
      </c>
      <c r="L69" s="8">
        <v>44110.043749999997</v>
      </c>
      <c r="M69" s="3">
        <v>0</v>
      </c>
      <c r="N69" s="3">
        <v>1</v>
      </c>
      <c r="O69" s="3" t="s">
        <v>33</v>
      </c>
      <c r="P69" s="10" t="s">
        <v>576</v>
      </c>
      <c r="Q69" s="3" t="s">
        <v>34</v>
      </c>
      <c r="R69" s="3">
        <v>6</v>
      </c>
      <c r="S69" s="3">
        <v>1</v>
      </c>
      <c r="T69" s="3" t="s">
        <v>35</v>
      </c>
      <c r="U69" s="3" t="s">
        <v>36</v>
      </c>
      <c r="V69" s="3" t="s">
        <v>37</v>
      </c>
      <c r="W69" s="11" cm="1">
        <f t="array" ref="W69">IF(H69="Request","No SLA for Request", IF(F69="Emergency",B69+(4/24), WORKDAY(B69, _xlfn.IFS(F69="High", 3, F69="Normal", 5, F69="Low", 10))))</f>
        <v>44112</v>
      </c>
      <c r="X69" t="str">
        <f t="shared" si="1"/>
        <v>Yes</v>
      </c>
    </row>
    <row r="70" spans="1:24" ht="12.75" x14ac:dyDescent="0.2">
      <c r="A70" s="3">
        <v>111495</v>
      </c>
      <c r="B70" s="8">
        <v>44066.599305555559</v>
      </c>
      <c r="C70" s="3" t="s">
        <v>249</v>
      </c>
      <c r="D70" s="3" t="s">
        <v>90</v>
      </c>
      <c r="E70" s="3" t="s">
        <v>91</v>
      </c>
      <c r="F70" s="3" t="s">
        <v>92</v>
      </c>
      <c r="G70" s="3" t="s">
        <v>29</v>
      </c>
      <c r="H70" s="3" t="s">
        <v>30</v>
      </c>
      <c r="I70" s="3" t="s">
        <v>31</v>
      </c>
      <c r="J70" s="3" t="s">
        <v>32</v>
      </c>
      <c r="K70" s="8">
        <v>44097.768750000003</v>
      </c>
      <c r="L70" s="8">
        <v>44067.099305555559</v>
      </c>
      <c r="M70" s="3">
        <v>0</v>
      </c>
      <c r="N70" s="3">
        <v>1</v>
      </c>
      <c r="O70" s="3" t="s">
        <v>33</v>
      </c>
      <c r="P70" s="10" t="s">
        <v>576</v>
      </c>
      <c r="Q70" s="3" t="s">
        <v>43</v>
      </c>
      <c r="R70" s="3">
        <v>21</v>
      </c>
      <c r="S70" s="3">
        <v>2</v>
      </c>
      <c r="T70" s="3" t="s">
        <v>35</v>
      </c>
      <c r="U70" s="3" t="s">
        <v>36</v>
      </c>
      <c r="V70" s="3" t="s">
        <v>37</v>
      </c>
      <c r="W70" s="11" cm="1">
        <f t="array" ref="W70">IF(H70="Request","No SLA for Request", IF(F70="Emergency",B70+(4/24), WORKDAY(B70, _xlfn.IFS(F70="High", 3, F70="Normal", 5, F70="Low", 10))))</f>
        <v>44069</v>
      </c>
      <c r="X70" t="str">
        <f t="shared" si="1"/>
        <v>Yes</v>
      </c>
    </row>
    <row r="71" spans="1:24" ht="12.75" x14ac:dyDescent="0.2">
      <c r="A71" s="3">
        <v>111498</v>
      </c>
      <c r="B71" s="8">
        <v>44070.453472222223</v>
      </c>
      <c r="C71" s="3" t="s">
        <v>250</v>
      </c>
      <c r="D71" s="3" t="s">
        <v>70</v>
      </c>
      <c r="E71" s="3" t="s">
        <v>71</v>
      </c>
      <c r="F71" s="3" t="s">
        <v>92</v>
      </c>
      <c r="G71" s="3" t="s">
        <v>29</v>
      </c>
      <c r="H71" s="3" t="s">
        <v>30</v>
      </c>
      <c r="I71" s="3" t="s">
        <v>31</v>
      </c>
      <c r="J71" s="3" t="s">
        <v>32</v>
      </c>
      <c r="K71" s="8">
        <v>44095.595138888886</v>
      </c>
      <c r="L71" s="8">
        <v>44070.953472222223</v>
      </c>
      <c r="M71" s="3">
        <v>0</v>
      </c>
      <c r="N71" s="3">
        <v>1</v>
      </c>
      <c r="O71" s="3" t="s">
        <v>33</v>
      </c>
      <c r="P71" s="10" t="s">
        <v>576</v>
      </c>
      <c r="Q71" s="3" t="s">
        <v>43</v>
      </c>
      <c r="R71" s="3">
        <v>18</v>
      </c>
      <c r="S71" s="3">
        <v>3</v>
      </c>
      <c r="T71" s="3" t="s">
        <v>35</v>
      </c>
      <c r="U71" s="3" t="s">
        <v>36</v>
      </c>
      <c r="V71" s="3" t="s">
        <v>37</v>
      </c>
      <c r="W71" s="11" cm="1">
        <f t="array" ref="W71">IF(H71="Request","No SLA for Request", IF(F71="Emergency",B71+(4/24), WORKDAY(B71, _xlfn.IFS(F71="High", 3, F71="Normal", 5, F71="Low", 10))))</f>
        <v>44075</v>
      </c>
      <c r="X71" t="str">
        <f t="shared" si="1"/>
        <v>Yes</v>
      </c>
    </row>
    <row r="72" spans="1:24" ht="12.75" x14ac:dyDescent="0.2">
      <c r="A72" s="3">
        <v>111474</v>
      </c>
      <c r="B72" s="8">
        <v>44033.568749999999</v>
      </c>
      <c r="C72" s="3" t="s">
        <v>251</v>
      </c>
      <c r="D72" s="3" t="s">
        <v>90</v>
      </c>
      <c r="E72" s="3" t="s">
        <v>91</v>
      </c>
      <c r="F72" s="3" t="s">
        <v>92</v>
      </c>
      <c r="G72" s="3" t="s">
        <v>29</v>
      </c>
      <c r="H72" s="3" t="s">
        <v>30</v>
      </c>
      <c r="I72" s="3" t="s">
        <v>31</v>
      </c>
      <c r="J72" s="3" t="s">
        <v>32</v>
      </c>
      <c r="K72" s="8">
        <v>44048.742361111108</v>
      </c>
      <c r="L72" s="8">
        <v>44034.068749999999</v>
      </c>
      <c r="M72" s="3">
        <v>0</v>
      </c>
      <c r="N72" s="3">
        <v>1</v>
      </c>
      <c r="O72" s="3" t="s">
        <v>33</v>
      </c>
      <c r="P72" s="10" t="s">
        <v>576</v>
      </c>
      <c r="Q72" s="3" t="s">
        <v>43</v>
      </c>
      <c r="R72" s="3">
        <v>13</v>
      </c>
      <c r="S72" s="3">
        <v>4</v>
      </c>
      <c r="T72" s="3" t="s">
        <v>35</v>
      </c>
      <c r="U72" s="3" t="s">
        <v>36</v>
      </c>
      <c r="V72" s="3" t="s">
        <v>48</v>
      </c>
      <c r="W72" s="11" cm="1">
        <f t="array" ref="W72">IF(H72="Request","No SLA for Request", IF(F72="Emergency",B72+(4/24), WORKDAY(B72, _xlfn.IFS(F72="High", 3, F72="Normal", 5, F72="Low", 10))))</f>
        <v>44036</v>
      </c>
      <c r="X72" t="str">
        <f t="shared" si="1"/>
        <v>Yes</v>
      </c>
    </row>
    <row r="73" spans="1:24" ht="12.75" x14ac:dyDescent="0.2">
      <c r="A73" s="3">
        <v>111469</v>
      </c>
      <c r="B73" s="8">
        <v>44025.460416666669</v>
      </c>
      <c r="C73" s="3" t="s">
        <v>252</v>
      </c>
      <c r="D73" s="3" t="s">
        <v>70</v>
      </c>
      <c r="E73" s="3" t="s">
        <v>71</v>
      </c>
      <c r="F73" s="3" t="s">
        <v>92</v>
      </c>
      <c r="G73" s="3" t="s">
        <v>29</v>
      </c>
      <c r="H73" s="3" t="s">
        <v>30</v>
      </c>
      <c r="I73" s="3" t="s">
        <v>31</v>
      </c>
      <c r="J73" s="3" t="s">
        <v>32</v>
      </c>
      <c r="K73" s="8">
        <v>44046.508333333331</v>
      </c>
      <c r="L73" s="8">
        <v>44025.960416666669</v>
      </c>
      <c r="M73" s="3">
        <v>0</v>
      </c>
      <c r="N73" s="3">
        <v>1</v>
      </c>
      <c r="O73" s="3" t="s">
        <v>33</v>
      </c>
      <c r="P73" s="10" t="s">
        <v>576</v>
      </c>
      <c r="Q73" s="3" t="s">
        <v>43</v>
      </c>
      <c r="R73" s="3">
        <v>11</v>
      </c>
      <c r="S73" s="3">
        <v>5</v>
      </c>
      <c r="T73" s="3" t="s">
        <v>35</v>
      </c>
      <c r="U73" s="3" t="s">
        <v>36</v>
      </c>
      <c r="V73" s="3" t="s">
        <v>48</v>
      </c>
      <c r="W73" s="11" cm="1">
        <f t="array" ref="W73">IF(H73="Request","No SLA for Request", IF(F73="Emergency",B73+(4/24), WORKDAY(B73, _xlfn.IFS(F73="High", 3, F73="Normal", 5, F73="Low", 10))))</f>
        <v>44028</v>
      </c>
      <c r="X73" t="str">
        <f t="shared" si="1"/>
        <v>Yes</v>
      </c>
    </row>
    <row r="74" spans="1:24" ht="12.75" x14ac:dyDescent="0.2">
      <c r="A74" s="3">
        <v>111446</v>
      </c>
      <c r="B74" s="8">
        <v>44000.649305555555</v>
      </c>
      <c r="C74" s="3" t="s">
        <v>253</v>
      </c>
      <c r="D74" s="3" t="s">
        <v>96</v>
      </c>
      <c r="E74" s="3" t="s">
        <v>97</v>
      </c>
      <c r="F74" s="3" t="s">
        <v>92</v>
      </c>
      <c r="G74" s="3" t="s">
        <v>29</v>
      </c>
      <c r="H74" s="3" t="s">
        <v>30</v>
      </c>
      <c r="I74" s="3" t="s">
        <v>31</v>
      </c>
      <c r="J74" s="3" t="s">
        <v>32</v>
      </c>
      <c r="K74" s="8">
        <v>44042.710416666669</v>
      </c>
      <c r="L74" s="8">
        <v>44001.149305555555</v>
      </c>
      <c r="M74" s="3">
        <v>0</v>
      </c>
      <c r="N74" s="3">
        <v>1</v>
      </c>
      <c r="O74" s="3" t="s">
        <v>33</v>
      </c>
      <c r="P74" s="10" t="s">
        <v>576</v>
      </c>
      <c r="Q74" s="3" t="s">
        <v>43</v>
      </c>
      <c r="R74" s="3">
        <v>5</v>
      </c>
      <c r="S74" s="3">
        <v>4</v>
      </c>
      <c r="T74" s="3" t="s">
        <v>35</v>
      </c>
      <c r="U74" s="3" t="s">
        <v>36</v>
      </c>
      <c r="V74" s="3" t="s">
        <v>37</v>
      </c>
      <c r="W74" s="11" cm="1">
        <f t="array" ref="W74">IF(H74="Request","No SLA for Request", IF(F74="Emergency",B74+(4/24), WORKDAY(B74, _xlfn.IFS(F74="High", 3, F74="Normal", 5, F74="Low", 10))))</f>
        <v>44005</v>
      </c>
      <c r="X74" t="str">
        <f t="shared" si="1"/>
        <v>Yes</v>
      </c>
    </row>
    <row r="75" spans="1:24" ht="12.75" x14ac:dyDescent="0.2">
      <c r="A75" s="3">
        <v>111382</v>
      </c>
      <c r="B75" s="8">
        <v>43868.647222222222</v>
      </c>
      <c r="C75" s="3" t="s">
        <v>254</v>
      </c>
      <c r="D75" s="3" t="s">
        <v>44</v>
      </c>
      <c r="E75" s="3" t="s">
        <v>45</v>
      </c>
      <c r="F75" s="3" t="s">
        <v>92</v>
      </c>
      <c r="G75" s="3" t="s">
        <v>577</v>
      </c>
      <c r="H75" s="3" t="s">
        <v>53</v>
      </c>
      <c r="I75" s="3" t="s">
        <v>31</v>
      </c>
      <c r="J75" s="3" t="s">
        <v>32</v>
      </c>
      <c r="K75" s="8">
        <v>44025.510416666664</v>
      </c>
      <c r="L75" s="8">
        <v>43869.147222222222</v>
      </c>
      <c r="M75" s="3">
        <v>0</v>
      </c>
      <c r="N75" s="3">
        <v>1</v>
      </c>
      <c r="O75" s="3" t="s">
        <v>33</v>
      </c>
      <c r="P75" s="10" t="s">
        <v>576</v>
      </c>
      <c r="Q75" s="3" t="s">
        <v>46</v>
      </c>
      <c r="R75" s="3">
        <v>4</v>
      </c>
      <c r="S75" s="3">
        <v>0</v>
      </c>
      <c r="T75" s="10" t="s">
        <v>576</v>
      </c>
      <c r="U75" s="10" t="s">
        <v>576</v>
      </c>
      <c r="V75" s="3" t="s">
        <v>37</v>
      </c>
      <c r="W75" s="11" t="str" cm="1">
        <f t="array" ref="W75">IF(H75="Request","No SLA for Request", IF(F75="Emergency",B75+(4/24), WORKDAY(B75, _xlfn.IFS(F75="High", 3, F75="Normal", 5, F75="Low", 10))))</f>
        <v>No SLA for Request</v>
      </c>
      <c r="X75" t="str">
        <f t="shared" si="1"/>
        <v>N/A</v>
      </c>
    </row>
    <row r="76" spans="1:24" ht="12.75" x14ac:dyDescent="0.2">
      <c r="A76" s="3">
        <v>111456</v>
      </c>
      <c r="B76" s="8">
        <v>44014.507638888892</v>
      </c>
      <c r="C76" s="3" t="s">
        <v>100</v>
      </c>
      <c r="D76" s="3" t="s">
        <v>60</v>
      </c>
      <c r="E76" s="3" t="s">
        <v>581</v>
      </c>
      <c r="F76" s="3" t="s">
        <v>92</v>
      </c>
      <c r="G76" s="3" t="s">
        <v>29</v>
      </c>
      <c r="H76" s="3" t="s">
        <v>53</v>
      </c>
      <c r="I76" s="3" t="s">
        <v>31</v>
      </c>
      <c r="J76" s="3" t="s">
        <v>32</v>
      </c>
      <c r="K76" s="8">
        <v>44018.73333333333</v>
      </c>
      <c r="L76" s="12" t="s">
        <v>576</v>
      </c>
      <c r="M76" s="3">
        <v>0</v>
      </c>
      <c r="N76" s="3">
        <v>1</v>
      </c>
      <c r="O76" s="3" t="s">
        <v>33</v>
      </c>
      <c r="P76" s="10" t="s">
        <v>576</v>
      </c>
      <c r="Q76" s="3" t="s">
        <v>43</v>
      </c>
      <c r="R76" s="3">
        <v>4</v>
      </c>
      <c r="S76" s="3">
        <v>1</v>
      </c>
      <c r="T76" s="3" t="s">
        <v>54</v>
      </c>
      <c r="U76" s="3" t="s">
        <v>55</v>
      </c>
      <c r="V76" s="3" t="s">
        <v>48</v>
      </c>
      <c r="W76" s="11" t="str" cm="1">
        <f t="array" ref="W76">IF(H76="Request","No SLA for Request", IF(F76="Emergency",B76+(4/24), WORKDAY(B76, _xlfn.IFS(F76="High", 3, F76="Normal", 5, F76="Low", 10))))</f>
        <v>No SLA for Request</v>
      </c>
      <c r="X76" t="str">
        <f t="shared" si="1"/>
        <v>N/A</v>
      </c>
    </row>
    <row r="77" spans="1:24" ht="12.75" x14ac:dyDescent="0.2">
      <c r="A77" s="3">
        <v>111417</v>
      </c>
      <c r="B77" s="8">
        <v>43950.322916666664</v>
      </c>
      <c r="C77" s="3" t="s">
        <v>255</v>
      </c>
      <c r="D77" s="3" t="s">
        <v>101</v>
      </c>
      <c r="E77" s="3" t="s">
        <v>585</v>
      </c>
      <c r="F77" s="3" t="s">
        <v>92</v>
      </c>
      <c r="G77" s="3" t="s">
        <v>577</v>
      </c>
      <c r="H77" s="3" t="s">
        <v>30</v>
      </c>
      <c r="I77" s="3" t="s">
        <v>31</v>
      </c>
      <c r="J77" s="3" t="s">
        <v>32</v>
      </c>
      <c r="K77" s="8">
        <v>44007.693749999999</v>
      </c>
      <c r="L77" s="8">
        <v>43950.822916666664</v>
      </c>
      <c r="M77" s="3">
        <v>0</v>
      </c>
      <c r="N77" s="3">
        <v>1</v>
      </c>
      <c r="O77" s="3" t="s">
        <v>33</v>
      </c>
      <c r="P77" s="10" t="s">
        <v>576</v>
      </c>
      <c r="Q77" s="3" t="s">
        <v>102</v>
      </c>
      <c r="R77" s="3">
        <v>6</v>
      </c>
      <c r="S77" s="3">
        <v>4</v>
      </c>
      <c r="T77" s="10" t="s">
        <v>576</v>
      </c>
      <c r="U77" s="3" t="s">
        <v>36</v>
      </c>
      <c r="V77" s="3" t="s">
        <v>51</v>
      </c>
      <c r="W77" s="11" cm="1">
        <f t="array" ref="W77">IF(H77="Request","No SLA for Request", IF(F77="Emergency",B77+(4/24), WORKDAY(B77, _xlfn.IFS(F77="High", 3, F77="Normal", 5, F77="Low", 10))))</f>
        <v>43955</v>
      </c>
      <c r="X77" t="str">
        <f t="shared" si="1"/>
        <v>Yes</v>
      </c>
    </row>
    <row r="78" spans="1:24" ht="12.75" x14ac:dyDescent="0.2">
      <c r="A78" s="3">
        <v>111434</v>
      </c>
      <c r="B78" s="8">
        <v>43985.6875</v>
      </c>
      <c r="C78" s="3" t="s">
        <v>256</v>
      </c>
      <c r="D78" s="3" t="s">
        <v>70</v>
      </c>
      <c r="E78" s="3" t="s">
        <v>71</v>
      </c>
      <c r="F78" s="3" t="s">
        <v>92</v>
      </c>
      <c r="G78" s="3" t="s">
        <v>29</v>
      </c>
      <c r="H78" s="3" t="s">
        <v>53</v>
      </c>
      <c r="I78" s="3" t="s">
        <v>31</v>
      </c>
      <c r="J78" s="3" t="s">
        <v>32</v>
      </c>
      <c r="K78" s="8">
        <v>44006.652083333334</v>
      </c>
      <c r="L78" s="12" t="s">
        <v>576</v>
      </c>
      <c r="M78" s="3">
        <v>0</v>
      </c>
      <c r="N78" s="3">
        <v>1</v>
      </c>
      <c r="O78" s="3" t="s">
        <v>33</v>
      </c>
      <c r="P78" s="10" t="s">
        <v>576</v>
      </c>
      <c r="Q78" s="3" t="s">
        <v>43</v>
      </c>
      <c r="R78" s="3">
        <v>16</v>
      </c>
      <c r="S78" s="3">
        <v>10</v>
      </c>
      <c r="T78" s="3" t="s">
        <v>35</v>
      </c>
      <c r="U78" s="3" t="s">
        <v>36</v>
      </c>
      <c r="V78" s="3" t="s">
        <v>37</v>
      </c>
      <c r="W78" s="11" t="str" cm="1">
        <f t="array" ref="W78">IF(H78="Request","No SLA for Request", IF(F78="Emergency",B78+(4/24), WORKDAY(B78, _xlfn.IFS(F78="High", 3, F78="Normal", 5, F78="Low", 10))))</f>
        <v>No SLA for Request</v>
      </c>
      <c r="X78" t="str">
        <f t="shared" si="1"/>
        <v>N/A</v>
      </c>
    </row>
    <row r="79" spans="1:24" ht="12.75" x14ac:dyDescent="0.2">
      <c r="A79" s="3">
        <v>111437</v>
      </c>
      <c r="B79" s="8">
        <v>43990.482638888891</v>
      </c>
      <c r="C79" s="3" t="s">
        <v>257</v>
      </c>
      <c r="D79" s="3" t="s">
        <v>70</v>
      </c>
      <c r="E79" s="3" t="s">
        <v>71</v>
      </c>
      <c r="F79" s="3" t="s">
        <v>92</v>
      </c>
      <c r="G79" s="3" t="s">
        <v>29</v>
      </c>
      <c r="H79" s="3" t="s">
        <v>53</v>
      </c>
      <c r="I79" s="3" t="s">
        <v>31</v>
      </c>
      <c r="J79" s="3" t="s">
        <v>32</v>
      </c>
      <c r="K79" s="8">
        <v>43997.363194444442</v>
      </c>
      <c r="L79" s="12" t="s">
        <v>576</v>
      </c>
      <c r="M79" s="3">
        <v>0</v>
      </c>
      <c r="N79" s="3">
        <v>1</v>
      </c>
      <c r="O79" s="3" t="s">
        <v>33</v>
      </c>
      <c r="P79" s="10" t="s">
        <v>576</v>
      </c>
      <c r="Q79" s="3" t="s">
        <v>43</v>
      </c>
      <c r="R79" s="3">
        <v>13</v>
      </c>
      <c r="S79" s="3">
        <v>2</v>
      </c>
      <c r="T79" s="3" t="s">
        <v>54</v>
      </c>
      <c r="U79" s="3" t="s">
        <v>55</v>
      </c>
      <c r="V79" s="3" t="s">
        <v>48</v>
      </c>
      <c r="W79" s="11" t="str" cm="1">
        <f t="array" ref="W79">IF(H79="Request","No SLA for Request", IF(F79="Emergency",B79+(4/24), WORKDAY(B79, _xlfn.IFS(F79="High", 3, F79="Normal", 5, F79="Low", 10))))</f>
        <v>No SLA for Request</v>
      </c>
      <c r="X79" t="str">
        <f t="shared" si="1"/>
        <v>N/A</v>
      </c>
    </row>
    <row r="80" spans="1:24" ht="12.75" x14ac:dyDescent="0.2">
      <c r="A80" s="3">
        <v>111353</v>
      </c>
      <c r="B80" s="8">
        <v>43803.594444444447</v>
      </c>
      <c r="C80" s="3" t="s">
        <v>258</v>
      </c>
      <c r="D80" s="3" t="s">
        <v>63</v>
      </c>
      <c r="E80" s="3" t="s">
        <v>64</v>
      </c>
      <c r="F80" s="3" t="s">
        <v>92</v>
      </c>
      <c r="G80" s="3" t="s">
        <v>29</v>
      </c>
      <c r="H80" s="3" t="s">
        <v>30</v>
      </c>
      <c r="I80" s="3" t="s">
        <v>31</v>
      </c>
      <c r="J80" s="3" t="s">
        <v>32</v>
      </c>
      <c r="K80" s="8">
        <v>43962.720833333333</v>
      </c>
      <c r="L80" s="12" t="s">
        <v>576</v>
      </c>
      <c r="M80" s="3">
        <v>0</v>
      </c>
      <c r="N80" s="3">
        <v>1</v>
      </c>
      <c r="O80" s="3" t="s">
        <v>33</v>
      </c>
      <c r="P80" s="10" t="s">
        <v>576</v>
      </c>
      <c r="Q80" s="3" t="s">
        <v>34</v>
      </c>
      <c r="R80" s="3">
        <v>79</v>
      </c>
      <c r="S80" s="3">
        <v>4</v>
      </c>
      <c r="T80" s="3" t="s">
        <v>35</v>
      </c>
      <c r="U80" s="3" t="s">
        <v>36</v>
      </c>
      <c r="V80" s="3" t="s">
        <v>37</v>
      </c>
      <c r="W80" s="11" cm="1">
        <f t="array" ref="W80">IF(H80="Request","No SLA for Request", IF(F80="Emergency",B80+(4/24), WORKDAY(B80, _xlfn.IFS(F80="High", 3, F80="Normal", 5, F80="Low", 10))))</f>
        <v>43808</v>
      </c>
      <c r="X80" t="str">
        <f t="shared" si="1"/>
        <v>Yes</v>
      </c>
    </row>
    <row r="81" spans="1:24" ht="12.75" x14ac:dyDescent="0.2">
      <c r="A81" s="3">
        <v>111320</v>
      </c>
      <c r="B81" s="8">
        <v>43746.651388888888</v>
      </c>
      <c r="C81" s="3" t="s">
        <v>259</v>
      </c>
      <c r="D81" s="3" t="s">
        <v>103</v>
      </c>
      <c r="E81" s="3" t="s">
        <v>104</v>
      </c>
      <c r="F81" s="3" t="s">
        <v>92</v>
      </c>
      <c r="G81" s="3" t="s">
        <v>29</v>
      </c>
      <c r="H81" s="3" t="s">
        <v>30</v>
      </c>
      <c r="I81" s="3" t="s">
        <v>31</v>
      </c>
      <c r="J81" s="3" t="s">
        <v>32</v>
      </c>
      <c r="K81" s="8">
        <v>43958.558333333334</v>
      </c>
      <c r="L81" s="12" t="s">
        <v>576</v>
      </c>
      <c r="M81" s="3">
        <v>0</v>
      </c>
      <c r="N81" s="3">
        <v>1</v>
      </c>
      <c r="O81" s="3" t="s">
        <v>33</v>
      </c>
      <c r="P81" s="10" t="s">
        <v>576</v>
      </c>
      <c r="Q81" s="3" t="s">
        <v>43</v>
      </c>
      <c r="R81" s="3">
        <v>55</v>
      </c>
      <c r="S81" s="3">
        <v>9</v>
      </c>
      <c r="T81" s="3" t="s">
        <v>35</v>
      </c>
      <c r="U81" s="3" t="s">
        <v>36</v>
      </c>
      <c r="V81" s="3" t="s">
        <v>37</v>
      </c>
      <c r="W81" s="11" cm="1">
        <f t="array" ref="W81">IF(H81="Request","No SLA for Request", IF(F81="Emergency",B81+(4/24), WORKDAY(B81, _xlfn.IFS(F81="High", 3, F81="Normal", 5, F81="Low", 10))))</f>
        <v>43749</v>
      </c>
      <c r="X81" t="str">
        <f t="shared" si="1"/>
        <v>Yes</v>
      </c>
    </row>
    <row r="82" spans="1:24" ht="12.75" x14ac:dyDescent="0.2">
      <c r="A82" s="3">
        <v>111390</v>
      </c>
      <c r="B82" s="8">
        <v>43879.461805555555</v>
      </c>
      <c r="C82" s="3" t="s">
        <v>260</v>
      </c>
      <c r="D82" s="3" t="s">
        <v>56</v>
      </c>
      <c r="E82" s="3" t="s">
        <v>57</v>
      </c>
      <c r="F82" s="3" t="s">
        <v>92</v>
      </c>
      <c r="G82" s="3" t="s">
        <v>29</v>
      </c>
      <c r="H82" s="3" t="s">
        <v>30</v>
      </c>
      <c r="I82" s="3" t="s">
        <v>31</v>
      </c>
      <c r="J82" s="3" t="s">
        <v>32</v>
      </c>
      <c r="K82" s="8">
        <v>43957.656944444447</v>
      </c>
      <c r="L82" s="12" t="s">
        <v>576</v>
      </c>
      <c r="M82" s="3">
        <v>0</v>
      </c>
      <c r="N82" s="3">
        <v>1</v>
      </c>
      <c r="O82" s="3" t="s">
        <v>33</v>
      </c>
      <c r="P82" s="10" t="s">
        <v>576</v>
      </c>
      <c r="Q82" s="3" t="s">
        <v>43</v>
      </c>
      <c r="R82" s="3">
        <v>24</v>
      </c>
      <c r="S82" s="3">
        <v>2</v>
      </c>
      <c r="T82" s="3" t="s">
        <v>35</v>
      </c>
      <c r="U82" s="3" t="s">
        <v>36</v>
      </c>
      <c r="V82" s="3" t="s">
        <v>48</v>
      </c>
      <c r="W82" s="11" cm="1">
        <f t="array" ref="W82">IF(H82="Request","No SLA for Request", IF(F82="Emergency",B82+(4/24), WORKDAY(B82, _xlfn.IFS(F82="High", 3, F82="Normal", 5, F82="Low", 10))))</f>
        <v>43882</v>
      </c>
      <c r="X82" t="str">
        <f t="shared" si="1"/>
        <v>Yes</v>
      </c>
    </row>
    <row r="83" spans="1:24" ht="12.75" x14ac:dyDescent="0.2">
      <c r="A83" s="3">
        <v>111409</v>
      </c>
      <c r="B83" s="8">
        <v>43936.490277777775</v>
      </c>
      <c r="C83" s="3" t="s">
        <v>261</v>
      </c>
      <c r="D83" s="3" t="s">
        <v>73</v>
      </c>
      <c r="E83" s="3" t="s">
        <v>74</v>
      </c>
      <c r="F83" s="3" t="s">
        <v>92</v>
      </c>
      <c r="G83" s="3" t="s">
        <v>29</v>
      </c>
      <c r="H83" s="3" t="s">
        <v>30</v>
      </c>
      <c r="I83" s="3" t="s">
        <v>31</v>
      </c>
      <c r="J83" s="3" t="s">
        <v>32</v>
      </c>
      <c r="K83" s="8">
        <v>43937.648611111108</v>
      </c>
      <c r="L83" s="12" t="s">
        <v>576</v>
      </c>
      <c r="M83" s="3">
        <v>0</v>
      </c>
      <c r="N83" s="3">
        <v>1</v>
      </c>
      <c r="O83" s="3" t="s">
        <v>33</v>
      </c>
      <c r="P83" s="10" t="s">
        <v>576</v>
      </c>
      <c r="Q83" s="3" t="s">
        <v>72</v>
      </c>
      <c r="R83" s="3">
        <v>6</v>
      </c>
      <c r="S83" s="3">
        <v>1</v>
      </c>
      <c r="T83" s="3" t="s">
        <v>54</v>
      </c>
      <c r="U83" s="3" t="s">
        <v>62</v>
      </c>
      <c r="V83" s="3" t="s">
        <v>48</v>
      </c>
      <c r="W83" s="11" cm="1">
        <f t="array" ref="W83">IF(H83="Request","No SLA for Request", IF(F83="Emergency",B83+(4/24), WORKDAY(B83, _xlfn.IFS(F83="High", 3, F83="Normal", 5, F83="Low", 10))))</f>
        <v>43941</v>
      </c>
      <c r="X83" t="str">
        <f t="shared" si="1"/>
        <v>No</v>
      </c>
    </row>
    <row r="84" spans="1:24" ht="12.75" x14ac:dyDescent="0.2">
      <c r="A84" s="3">
        <v>111383</v>
      </c>
      <c r="B84" s="8">
        <v>43871.418749999997</v>
      </c>
      <c r="C84" s="3" t="s">
        <v>262</v>
      </c>
      <c r="D84" s="3" t="s">
        <v>56</v>
      </c>
      <c r="E84" s="3" t="s">
        <v>57</v>
      </c>
      <c r="F84" s="3" t="s">
        <v>92</v>
      </c>
      <c r="G84" s="3" t="s">
        <v>29</v>
      </c>
      <c r="H84" s="3" t="s">
        <v>30</v>
      </c>
      <c r="I84" s="3" t="s">
        <v>31</v>
      </c>
      <c r="J84" s="3" t="s">
        <v>32</v>
      </c>
      <c r="K84" s="8">
        <v>43929.714583333334</v>
      </c>
      <c r="L84" s="12" t="s">
        <v>576</v>
      </c>
      <c r="M84" s="3">
        <v>0</v>
      </c>
      <c r="N84" s="3">
        <v>1</v>
      </c>
      <c r="O84" s="3" t="s">
        <v>33</v>
      </c>
      <c r="P84" s="10" t="s">
        <v>576</v>
      </c>
      <c r="Q84" s="3" t="s">
        <v>43</v>
      </c>
      <c r="R84" s="3">
        <v>17</v>
      </c>
      <c r="S84" s="3">
        <v>2</v>
      </c>
      <c r="T84" s="3" t="s">
        <v>35</v>
      </c>
      <c r="U84" s="3" t="s">
        <v>62</v>
      </c>
      <c r="V84" s="3" t="s">
        <v>37</v>
      </c>
      <c r="W84" s="11" cm="1">
        <f t="array" ref="W84">IF(H84="Request","No SLA for Request", IF(F84="Emergency",B84+(4/24), WORKDAY(B84, _xlfn.IFS(F84="High", 3, F84="Normal", 5, F84="Low", 10))))</f>
        <v>43874</v>
      </c>
      <c r="X84" t="str">
        <f t="shared" si="1"/>
        <v>Yes</v>
      </c>
    </row>
    <row r="85" spans="1:24" ht="12.75" x14ac:dyDescent="0.2">
      <c r="A85" s="3">
        <v>111404</v>
      </c>
      <c r="B85" s="8">
        <v>43913.672222222223</v>
      </c>
      <c r="C85" s="3" t="s">
        <v>263</v>
      </c>
      <c r="D85" s="3" t="s">
        <v>73</v>
      </c>
      <c r="E85" s="3" t="s">
        <v>74</v>
      </c>
      <c r="F85" s="3" t="s">
        <v>92</v>
      </c>
      <c r="G85" s="3" t="s">
        <v>29</v>
      </c>
      <c r="H85" s="3" t="s">
        <v>30</v>
      </c>
      <c r="I85" s="3" t="s">
        <v>31</v>
      </c>
      <c r="J85" s="3" t="s">
        <v>32</v>
      </c>
      <c r="K85" s="8">
        <v>43923.723611111112</v>
      </c>
      <c r="L85" s="12" t="s">
        <v>576</v>
      </c>
      <c r="M85" s="3">
        <v>0</v>
      </c>
      <c r="N85" s="3">
        <v>1</v>
      </c>
      <c r="O85" s="3" t="s">
        <v>33</v>
      </c>
      <c r="P85" s="10" t="s">
        <v>576</v>
      </c>
      <c r="Q85" s="3" t="s">
        <v>34</v>
      </c>
      <c r="R85" s="3">
        <v>6</v>
      </c>
      <c r="S85" s="3">
        <v>1</v>
      </c>
      <c r="T85" s="3" t="s">
        <v>54</v>
      </c>
      <c r="U85" s="3" t="s">
        <v>62</v>
      </c>
      <c r="V85" s="3" t="s">
        <v>48</v>
      </c>
      <c r="W85" s="11" cm="1">
        <f t="array" ref="W85">IF(H85="Request","No SLA for Request", IF(F85="Emergency",B85+(4/24), WORKDAY(B85, _xlfn.IFS(F85="High", 3, F85="Normal", 5, F85="Low", 10))))</f>
        <v>43916</v>
      </c>
      <c r="X85" t="str">
        <f t="shared" si="1"/>
        <v>Yes</v>
      </c>
    </row>
    <row r="86" spans="1:24" ht="12.75" x14ac:dyDescent="0.2">
      <c r="A86" s="3">
        <v>111401</v>
      </c>
      <c r="B86" s="8">
        <v>43903.466666666667</v>
      </c>
      <c r="C86" s="3" t="s">
        <v>264</v>
      </c>
      <c r="D86" s="3" t="s">
        <v>73</v>
      </c>
      <c r="E86" s="3" t="s">
        <v>74</v>
      </c>
      <c r="F86" s="3" t="s">
        <v>92</v>
      </c>
      <c r="G86" s="3" t="s">
        <v>29</v>
      </c>
      <c r="H86" s="3" t="s">
        <v>30</v>
      </c>
      <c r="I86" s="3" t="s">
        <v>31</v>
      </c>
      <c r="J86" s="3" t="s">
        <v>32</v>
      </c>
      <c r="K86" s="8">
        <v>43914.713888888888</v>
      </c>
      <c r="L86" s="12" t="s">
        <v>576</v>
      </c>
      <c r="M86" s="3">
        <v>0</v>
      </c>
      <c r="N86" s="3">
        <v>1</v>
      </c>
      <c r="O86" s="3" t="s">
        <v>33</v>
      </c>
      <c r="P86" s="10" t="s">
        <v>576</v>
      </c>
      <c r="Q86" s="3" t="s">
        <v>34</v>
      </c>
      <c r="R86" s="3">
        <v>19</v>
      </c>
      <c r="S86" s="3">
        <v>1</v>
      </c>
      <c r="T86" s="3" t="s">
        <v>35</v>
      </c>
      <c r="U86" s="3" t="s">
        <v>62</v>
      </c>
      <c r="V86" s="3" t="s">
        <v>37</v>
      </c>
      <c r="W86" s="11" cm="1">
        <f t="array" ref="W86">IF(H86="Request","No SLA for Request", IF(F86="Emergency",B86+(4/24), WORKDAY(B86, _xlfn.IFS(F86="High", 3, F86="Normal", 5, F86="Low", 10))))</f>
        <v>43908</v>
      </c>
      <c r="X86" t="str">
        <f t="shared" si="1"/>
        <v>Yes</v>
      </c>
    </row>
    <row r="87" spans="1:24" ht="12.75" x14ac:dyDescent="0.2">
      <c r="A87" s="3">
        <v>111393</v>
      </c>
      <c r="B87" s="8">
        <v>43889.574999999997</v>
      </c>
      <c r="C87" s="3" t="s">
        <v>265</v>
      </c>
      <c r="D87" s="3" t="s">
        <v>60</v>
      </c>
      <c r="E87" s="3" t="s">
        <v>581</v>
      </c>
      <c r="F87" s="3" t="s">
        <v>92</v>
      </c>
      <c r="G87" s="3" t="s">
        <v>29</v>
      </c>
      <c r="H87" s="3" t="s">
        <v>30</v>
      </c>
      <c r="I87" s="3" t="s">
        <v>31</v>
      </c>
      <c r="J87" s="3" t="s">
        <v>32</v>
      </c>
      <c r="K87" s="8">
        <v>43913.54583333333</v>
      </c>
      <c r="L87" s="12" t="s">
        <v>576</v>
      </c>
      <c r="M87" s="3">
        <v>0</v>
      </c>
      <c r="N87" s="3">
        <v>1</v>
      </c>
      <c r="O87" s="3" t="s">
        <v>33</v>
      </c>
      <c r="P87" s="10" t="s">
        <v>576</v>
      </c>
      <c r="Q87" s="3" t="s">
        <v>43</v>
      </c>
      <c r="R87" s="3">
        <v>29</v>
      </c>
      <c r="S87" s="3">
        <v>3</v>
      </c>
      <c r="T87" s="3" t="s">
        <v>54</v>
      </c>
      <c r="U87" s="3" t="s">
        <v>62</v>
      </c>
      <c r="V87" s="3" t="s">
        <v>37</v>
      </c>
      <c r="W87" s="11" cm="1">
        <f t="array" ref="W87">IF(H87="Request","No SLA for Request", IF(F87="Emergency",B87+(4/24), WORKDAY(B87, _xlfn.IFS(F87="High", 3, F87="Normal", 5, F87="Low", 10))))</f>
        <v>43894</v>
      </c>
      <c r="X87" t="str">
        <f t="shared" si="1"/>
        <v>Yes</v>
      </c>
    </row>
    <row r="88" spans="1:24" ht="12.75" x14ac:dyDescent="0.2">
      <c r="A88" s="3">
        <v>111391</v>
      </c>
      <c r="B88" s="8">
        <v>43887.65</v>
      </c>
      <c r="C88" s="3" t="s">
        <v>266</v>
      </c>
      <c r="D88" s="3" t="s">
        <v>70</v>
      </c>
      <c r="E88" s="3" t="s">
        <v>71</v>
      </c>
      <c r="F88" s="3" t="s">
        <v>92</v>
      </c>
      <c r="G88" s="3" t="s">
        <v>29</v>
      </c>
      <c r="H88" s="3" t="s">
        <v>53</v>
      </c>
      <c r="I88" s="3" t="s">
        <v>31</v>
      </c>
      <c r="J88" s="3" t="s">
        <v>32</v>
      </c>
      <c r="K88" s="8">
        <v>43895.59097222222</v>
      </c>
      <c r="L88" s="12" t="s">
        <v>576</v>
      </c>
      <c r="M88" s="3">
        <v>0</v>
      </c>
      <c r="N88" s="3">
        <v>1</v>
      </c>
      <c r="O88" s="3" t="s">
        <v>33</v>
      </c>
      <c r="P88" s="10" t="s">
        <v>576</v>
      </c>
      <c r="Q88" s="3" t="s">
        <v>43</v>
      </c>
      <c r="R88" s="3">
        <v>20</v>
      </c>
      <c r="S88" s="3">
        <v>10</v>
      </c>
      <c r="T88" s="3" t="s">
        <v>35</v>
      </c>
      <c r="U88" s="3" t="s">
        <v>62</v>
      </c>
      <c r="V88" s="3" t="s">
        <v>37</v>
      </c>
      <c r="W88" s="11" t="str" cm="1">
        <f t="array" ref="W88">IF(H88="Request","No SLA for Request", IF(F88="Emergency",B88+(4/24), WORKDAY(B88, _xlfn.IFS(F88="High", 3, F88="Normal", 5, F88="Low", 10))))</f>
        <v>No SLA for Request</v>
      </c>
      <c r="X88" t="str">
        <f t="shared" si="1"/>
        <v>N/A</v>
      </c>
    </row>
    <row r="89" spans="1:24" ht="12.75" x14ac:dyDescent="0.2">
      <c r="A89" s="3">
        <v>111380</v>
      </c>
      <c r="B89" s="8">
        <v>43860.441666666666</v>
      </c>
      <c r="C89" s="3" t="s">
        <v>267</v>
      </c>
      <c r="D89" s="3" t="s">
        <v>44</v>
      </c>
      <c r="E89" s="3" t="s">
        <v>45</v>
      </c>
      <c r="F89" s="3" t="s">
        <v>92</v>
      </c>
      <c r="G89" s="3" t="s">
        <v>577</v>
      </c>
      <c r="H89" s="3" t="s">
        <v>53</v>
      </c>
      <c r="I89" s="3" t="s">
        <v>31</v>
      </c>
      <c r="J89" s="3" t="s">
        <v>32</v>
      </c>
      <c r="K89" s="8">
        <v>43868.692361111112</v>
      </c>
      <c r="L89" s="8">
        <v>43860.941666666666</v>
      </c>
      <c r="M89" s="3">
        <v>0</v>
      </c>
      <c r="N89" s="3">
        <v>1</v>
      </c>
      <c r="O89" s="3" t="s">
        <v>58</v>
      </c>
      <c r="P89" s="10" t="s">
        <v>576</v>
      </c>
      <c r="Q89" s="3" t="s">
        <v>46</v>
      </c>
      <c r="R89" s="3">
        <v>5</v>
      </c>
      <c r="S89" s="3">
        <v>0</v>
      </c>
      <c r="T89" s="10" t="s">
        <v>576</v>
      </c>
      <c r="U89" s="10" t="s">
        <v>576</v>
      </c>
      <c r="V89" s="3" t="s">
        <v>37</v>
      </c>
      <c r="W89" s="11" t="str" cm="1">
        <f t="array" ref="W89">IF(H89="Request","No SLA for Request", IF(F89="Emergency",B89+(4/24), WORKDAY(B89, _xlfn.IFS(F89="High", 3, F89="Normal", 5, F89="Low", 10))))</f>
        <v>No SLA for Request</v>
      </c>
      <c r="X89" t="str">
        <f t="shared" si="1"/>
        <v>N/A</v>
      </c>
    </row>
    <row r="90" spans="1:24" ht="12.75" x14ac:dyDescent="0.2">
      <c r="A90" s="3">
        <v>111378</v>
      </c>
      <c r="B90" s="8">
        <v>43857.588888888888</v>
      </c>
      <c r="C90" s="3" t="s">
        <v>268</v>
      </c>
      <c r="D90" s="3" t="s">
        <v>49</v>
      </c>
      <c r="E90" s="3" t="s">
        <v>50</v>
      </c>
      <c r="F90" s="3" t="s">
        <v>92</v>
      </c>
      <c r="G90" s="3" t="s">
        <v>29</v>
      </c>
      <c r="H90" s="3" t="s">
        <v>30</v>
      </c>
      <c r="I90" s="3" t="s">
        <v>31</v>
      </c>
      <c r="J90" s="3" t="s">
        <v>32</v>
      </c>
      <c r="K90" s="8">
        <v>43861.691666666666</v>
      </c>
      <c r="L90" s="12" t="s">
        <v>576</v>
      </c>
      <c r="M90" s="3">
        <v>0</v>
      </c>
      <c r="N90" s="3">
        <v>1</v>
      </c>
      <c r="O90" s="3" t="s">
        <v>33</v>
      </c>
      <c r="P90" s="10" t="s">
        <v>576</v>
      </c>
      <c r="Q90" s="3" t="s">
        <v>34</v>
      </c>
      <c r="R90" s="3">
        <v>6</v>
      </c>
      <c r="S90" s="3">
        <v>5</v>
      </c>
      <c r="T90" s="3" t="s">
        <v>35</v>
      </c>
      <c r="U90" s="3" t="s">
        <v>62</v>
      </c>
      <c r="V90" s="3" t="s">
        <v>48</v>
      </c>
      <c r="W90" s="11" cm="1">
        <f t="array" ref="W90">IF(H90="Request","No SLA for Request", IF(F90="Emergency",B90+(4/24), WORKDAY(B90, _xlfn.IFS(F90="High", 3, F90="Normal", 5, F90="Low", 10))))</f>
        <v>43860</v>
      </c>
      <c r="X90" t="str">
        <f t="shared" si="1"/>
        <v>Yes</v>
      </c>
    </row>
    <row r="91" spans="1:24" ht="12.75" x14ac:dyDescent="0.2">
      <c r="A91" s="3">
        <v>111369</v>
      </c>
      <c r="B91" s="8">
        <v>43840.36041666667</v>
      </c>
      <c r="C91" s="3" t="s">
        <v>269</v>
      </c>
      <c r="D91" s="3" t="s">
        <v>26</v>
      </c>
      <c r="E91" s="3" t="s">
        <v>27</v>
      </c>
      <c r="F91" s="3" t="s">
        <v>92</v>
      </c>
      <c r="G91" s="3" t="s">
        <v>29</v>
      </c>
      <c r="H91" s="3" t="s">
        <v>30</v>
      </c>
      <c r="I91" s="3" t="s">
        <v>31</v>
      </c>
      <c r="J91" s="3" t="s">
        <v>32</v>
      </c>
      <c r="K91" s="8">
        <v>43857.736111111109</v>
      </c>
      <c r="L91" s="12" t="s">
        <v>576</v>
      </c>
      <c r="M91" s="3">
        <v>0</v>
      </c>
      <c r="N91" s="3">
        <v>1</v>
      </c>
      <c r="O91" s="3" t="s">
        <v>33</v>
      </c>
      <c r="P91" s="10" t="s">
        <v>576</v>
      </c>
      <c r="Q91" s="3" t="s">
        <v>34</v>
      </c>
      <c r="R91" s="3">
        <v>8</v>
      </c>
      <c r="S91" s="3">
        <v>1</v>
      </c>
      <c r="T91" s="3" t="s">
        <v>35</v>
      </c>
      <c r="U91" s="3" t="s">
        <v>62</v>
      </c>
      <c r="V91" s="3" t="s">
        <v>37</v>
      </c>
      <c r="W91" s="11" cm="1">
        <f t="array" ref="W91">IF(H91="Request","No SLA for Request", IF(F91="Emergency",B91+(4/24), WORKDAY(B91, _xlfn.IFS(F91="High", 3, F91="Normal", 5, F91="Low", 10))))</f>
        <v>43845</v>
      </c>
      <c r="X91" t="str">
        <f t="shared" si="1"/>
        <v>Yes</v>
      </c>
    </row>
    <row r="92" spans="1:24" ht="12.75" x14ac:dyDescent="0.2">
      <c r="A92" s="3">
        <v>111318</v>
      </c>
      <c r="B92" s="8">
        <v>43742.598611111112</v>
      </c>
      <c r="C92" s="3" t="s">
        <v>270</v>
      </c>
      <c r="D92" s="3" t="s">
        <v>103</v>
      </c>
      <c r="E92" s="3" t="s">
        <v>104</v>
      </c>
      <c r="F92" s="3" t="s">
        <v>92</v>
      </c>
      <c r="G92" s="3" t="s">
        <v>29</v>
      </c>
      <c r="H92" s="3" t="s">
        <v>30</v>
      </c>
      <c r="I92" s="3" t="s">
        <v>31</v>
      </c>
      <c r="J92" s="3" t="s">
        <v>32</v>
      </c>
      <c r="K92" s="8">
        <v>43845.720833333333</v>
      </c>
      <c r="L92" s="12" t="s">
        <v>576</v>
      </c>
      <c r="M92" s="3">
        <v>0</v>
      </c>
      <c r="N92" s="3">
        <v>1</v>
      </c>
      <c r="O92" s="3" t="s">
        <v>33</v>
      </c>
      <c r="P92" s="10" t="s">
        <v>576</v>
      </c>
      <c r="Q92" s="3" t="s">
        <v>43</v>
      </c>
      <c r="R92" s="3">
        <v>24</v>
      </c>
      <c r="S92" s="3">
        <v>4</v>
      </c>
      <c r="T92" s="3" t="s">
        <v>35</v>
      </c>
      <c r="U92" s="3" t="s">
        <v>62</v>
      </c>
      <c r="V92" s="3" t="s">
        <v>37</v>
      </c>
      <c r="W92" s="11" cm="1">
        <f t="array" ref="W92">IF(H92="Request","No SLA for Request", IF(F92="Emergency",B92+(4/24), WORKDAY(B92, _xlfn.IFS(F92="High", 3, F92="Normal", 5, F92="Low", 10))))</f>
        <v>43747</v>
      </c>
      <c r="X92" t="str">
        <f t="shared" si="1"/>
        <v>Yes</v>
      </c>
    </row>
    <row r="93" spans="1:24" ht="12.75" x14ac:dyDescent="0.2">
      <c r="A93" s="3">
        <v>111361</v>
      </c>
      <c r="B93" s="8">
        <v>43822.707638888889</v>
      </c>
      <c r="C93" s="3" t="s">
        <v>271</v>
      </c>
      <c r="D93" s="3" t="s">
        <v>73</v>
      </c>
      <c r="E93" s="3" t="s">
        <v>74</v>
      </c>
      <c r="F93" s="3" t="s">
        <v>92</v>
      </c>
      <c r="G93" s="3" t="s">
        <v>29</v>
      </c>
      <c r="H93" s="3" t="s">
        <v>30</v>
      </c>
      <c r="I93" s="3" t="s">
        <v>31</v>
      </c>
      <c r="J93" s="3" t="s">
        <v>32</v>
      </c>
      <c r="K93" s="8">
        <v>43838.443055555559</v>
      </c>
      <c r="L93" s="8">
        <v>43823.207638888889</v>
      </c>
      <c r="M93" s="3">
        <v>0</v>
      </c>
      <c r="N93" s="3">
        <v>1</v>
      </c>
      <c r="O93" s="3" t="s">
        <v>33</v>
      </c>
      <c r="P93" s="10" t="s">
        <v>576</v>
      </c>
      <c r="Q93" s="3" t="s">
        <v>34</v>
      </c>
      <c r="R93" s="3">
        <v>12</v>
      </c>
      <c r="S93" s="3">
        <v>2</v>
      </c>
      <c r="T93" s="10" t="s">
        <v>576</v>
      </c>
      <c r="U93" s="10" t="s">
        <v>576</v>
      </c>
      <c r="V93" s="3" t="s">
        <v>48</v>
      </c>
      <c r="W93" s="11" cm="1">
        <f t="array" ref="W93">IF(H93="Request","No SLA for Request", IF(F93="Emergency",B93+(4/24), WORKDAY(B93, _xlfn.IFS(F93="High", 3, F93="Normal", 5, F93="Low", 10))))</f>
        <v>43825</v>
      </c>
      <c r="X93" t="str">
        <f t="shared" si="1"/>
        <v>Yes</v>
      </c>
    </row>
    <row r="94" spans="1:24" ht="12.75" x14ac:dyDescent="0.2">
      <c r="A94" s="3">
        <v>111360</v>
      </c>
      <c r="B94" s="8">
        <v>43818.375</v>
      </c>
      <c r="C94" s="3" t="s">
        <v>105</v>
      </c>
      <c r="D94" s="3" t="s">
        <v>49</v>
      </c>
      <c r="E94" s="3" t="s">
        <v>50</v>
      </c>
      <c r="F94" s="3" t="s">
        <v>92</v>
      </c>
      <c r="G94" s="3" t="s">
        <v>29</v>
      </c>
      <c r="H94" s="3" t="s">
        <v>30</v>
      </c>
      <c r="I94" s="3" t="s">
        <v>31</v>
      </c>
      <c r="J94" s="3" t="s">
        <v>32</v>
      </c>
      <c r="K94" s="8">
        <v>43836.728472222225</v>
      </c>
      <c r="L94" s="8">
        <v>43818.875</v>
      </c>
      <c r="M94" s="3">
        <v>0</v>
      </c>
      <c r="N94" s="3">
        <v>1</v>
      </c>
      <c r="O94" s="3" t="s">
        <v>33</v>
      </c>
      <c r="P94" s="10" t="s">
        <v>576</v>
      </c>
      <c r="Q94" s="3" t="s">
        <v>34</v>
      </c>
      <c r="R94" s="3">
        <v>8</v>
      </c>
      <c r="S94" s="3">
        <v>3</v>
      </c>
      <c r="T94" s="10" t="s">
        <v>576</v>
      </c>
      <c r="U94" s="10" t="s">
        <v>576</v>
      </c>
      <c r="V94" s="3" t="s">
        <v>37</v>
      </c>
      <c r="W94" s="11" cm="1">
        <f t="array" ref="W94">IF(H94="Request","No SLA for Request", IF(F94="Emergency",B94+(4/24), WORKDAY(B94, _xlfn.IFS(F94="High", 3, F94="Normal", 5, F94="Low", 10))))</f>
        <v>43823</v>
      </c>
      <c r="X94" t="str">
        <f t="shared" si="1"/>
        <v>Yes</v>
      </c>
    </row>
    <row r="95" spans="1:24" ht="12.75" x14ac:dyDescent="0.2">
      <c r="A95" s="3">
        <v>111358</v>
      </c>
      <c r="B95" s="8">
        <v>43810.590277777781</v>
      </c>
      <c r="C95" s="3" t="s">
        <v>586</v>
      </c>
      <c r="D95" s="3" t="s">
        <v>73</v>
      </c>
      <c r="E95" s="3" t="s">
        <v>74</v>
      </c>
      <c r="F95" s="3" t="s">
        <v>92</v>
      </c>
      <c r="G95" s="3" t="s">
        <v>29</v>
      </c>
      <c r="H95" s="3" t="s">
        <v>30</v>
      </c>
      <c r="I95" s="3" t="s">
        <v>31</v>
      </c>
      <c r="J95" s="3" t="s">
        <v>32</v>
      </c>
      <c r="K95" s="8">
        <v>43822.647222222222</v>
      </c>
      <c r="L95" s="8">
        <v>43811.090277777781</v>
      </c>
      <c r="M95" s="3">
        <v>0</v>
      </c>
      <c r="N95" s="3">
        <v>1</v>
      </c>
      <c r="O95" s="3" t="s">
        <v>33</v>
      </c>
      <c r="P95" s="10" t="s">
        <v>576</v>
      </c>
      <c r="Q95" s="3" t="s">
        <v>72</v>
      </c>
      <c r="R95" s="3">
        <v>6</v>
      </c>
      <c r="S95" s="3">
        <v>1</v>
      </c>
      <c r="T95" s="10" t="s">
        <v>576</v>
      </c>
      <c r="U95" s="10" t="s">
        <v>576</v>
      </c>
      <c r="V95" s="3" t="s">
        <v>48</v>
      </c>
      <c r="W95" s="11" cm="1">
        <f t="array" ref="W95">IF(H95="Request","No SLA for Request", IF(F95="Emergency",B95+(4/24), WORKDAY(B95, _xlfn.IFS(F95="High", 3, F95="Normal", 5, F95="Low", 10))))</f>
        <v>43815</v>
      </c>
      <c r="X95" t="str">
        <f t="shared" si="1"/>
        <v>Yes</v>
      </c>
    </row>
    <row r="96" spans="1:24" ht="12.75" x14ac:dyDescent="0.2">
      <c r="A96" s="3">
        <v>111351</v>
      </c>
      <c r="B96" s="8">
        <v>43797.474305555559</v>
      </c>
      <c r="C96" s="3" t="s">
        <v>272</v>
      </c>
      <c r="D96" s="3" t="s">
        <v>63</v>
      </c>
      <c r="E96" s="3" t="s">
        <v>64</v>
      </c>
      <c r="F96" s="3" t="s">
        <v>92</v>
      </c>
      <c r="G96" s="3" t="s">
        <v>29</v>
      </c>
      <c r="H96" s="3" t="s">
        <v>30</v>
      </c>
      <c r="I96" s="3" t="s">
        <v>31</v>
      </c>
      <c r="J96" s="3" t="s">
        <v>32</v>
      </c>
      <c r="K96" s="8">
        <v>43803.745833333334</v>
      </c>
      <c r="L96" s="8">
        <v>43797.974305555559</v>
      </c>
      <c r="M96" s="3">
        <v>0</v>
      </c>
      <c r="N96" s="3">
        <v>1</v>
      </c>
      <c r="O96" s="3" t="s">
        <v>33</v>
      </c>
      <c r="P96" s="10" t="s">
        <v>576</v>
      </c>
      <c r="Q96" s="3" t="s">
        <v>34</v>
      </c>
      <c r="R96" s="3">
        <v>8</v>
      </c>
      <c r="S96" s="3">
        <v>1</v>
      </c>
      <c r="T96" s="10" t="s">
        <v>576</v>
      </c>
      <c r="U96" s="10" t="s">
        <v>576</v>
      </c>
      <c r="V96" s="3" t="s">
        <v>48</v>
      </c>
      <c r="W96" s="11" cm="1">
        <f t="array" ref="W96">IF(H96="Request","No SLA for Request", IF(F96="Emergency",B96+(4/24), WORKDAY(B96, _xlfn.IFS(F96="High", 3, F96="Normal", 5, F96="Low", 10))))</f>
        <v>43802</v>
      </c>
      <c r="X96" t="str">
        <f t="shared" si="1"/>
        <v>Yes</v>
      </c>
    </row>
    <row r="97" spans="1:24" ht="12.75" x14ac:dyDescent="0.2">
      <c r="A97" s="3">
        <v>111333</v>
      </c>
      <c r="B97" s="8">
        <v>43763.606249999997</v>
      </c>
      <c r="C97" s="3" t="s">
        <v>106</v>
      </c>
      <c r="D97" s="3" t="s">
        <v>73</v>
      </c>
      <c r="E97" s="3" t="s">
        <v>74</v>
      </c>
      <c r="F97" s="3" t="s">
        <v>92</v>
      </c>
      <c r="G97" s="3" t="s">
        <v>29</v>
      </c>
      <c r="H97" s="3" t="s">
        <v>30</v>
      </c>
      <c r="I97" s="3" t="s">
        <v>31</v>
      </c>
      <c r="J97" s="3" t="s">
        <v>32</v>
      </c>
      <c r="K97" s="8">
        <v>43803.743750000001</v>
      </c>
      <c r="L97" s="8">
        <v>43764.106249999997</v>
      </c>
      <c r="M97" s="3">
        <v>0</v>
      </c>
      <c r="N97" s="3">
        <v>1</v>
      </c>
      <c r="O97" s="3" t="s">
        <v>33</v>
      </c>
      <c r="P97" s="10" t="s">
        <v>576</v>
      </c>
      <c r="Q97" s="3" t="s">
        <v>34</v>
      </c>
      <c r="R97" s="3">
        <v>15</v>
      </c>
      <c r="S97" s="3">
        <v>3</v>
      </c>
      <c r="T97" s="10" t="s">
        <v>576</v>
      </c>
      <c r="U97" s="10" t="s">
        <v>576</v>
      </c>
      <c r="V97" s="3" t="s">
        <v>48</v>
      </c>
      <c r="W97" s="11" cm="1">
        <f t="array" ref="W97">IF(H97="Request","No SLA for Request", IF(F97="Emergency",B97+(4/24), WORKDAY(B97, _xlfn.IFS(F97="High", 3, F97="Normal", 5, F97="Low", 10))))</f>
        <v>43768</v>
      </c>
      <c r="X97" t="str">
        <f t="shared" si="1"/>
        <v>Yes</v>
      </c>
    </row>
    <row r="98" spans="1:24" ht="12.75" x14ac:dyDescent="0.2">
      <c r="A98" s="3">
        <v>111346</v>
      </c>
      <c r="B98" s="8">
        <v>43789.50277777778</v>
      </c>
      <c r="C98" s="3" t="s">
        <v>273</v>
      </c>
      <c r="D98" s="3" t="s">
        <v>78</v>
      </c>
      <c r="E98" s="3" t="s">
        <v>79</v>
      </c>
      <c r="F98" s="3" t="s">
        <v>92</v>
      </c>
      <c r="G98" s="3" t="s">
        <v>29</v>
      </c>
      <c r="H98" s="3" t="s">
        <v>30</v>
      </c>
      <c r="I98" s="3" t="s">
        <v>31</v>
      </c>
      <c r="J98" s="3" t="s">
        <v>32</v>
      </c>
      <c r="K98" s="8">
        <v>43797.703472222223</v>
      </c>
      <c r="L98" s="8">
        <v>43790.00277777778</v>
      </c>
      <c r="M98" s="3">
        <v>0</v>
      </c>
      <c r="N98" s="3">
        <v>1</v>
      </c>
      <c r="O98" s="3" t="s">
        <v>33</v>
      </c>
      <c r="P98" s="10" t="s">
        <v>576</v>
      </c>
      <c r="Q98" s="3" t="s">
        <v>43</v>
      </c>
      <c r="R98" s="3">
        <v>25</v>
      </c>
      <c r="S98" s="3">
        <v>2</v>
      </c>
      <c r="T98" s="10" t="s">
        <v>576</v>
      </c>
      <c r="U98" s="10" t="s">
        <v>576</v>
      </c>
      <c r="V98" s="3" t="s">
        <v>37</v>
      </c>
      <c r="W98" s="11" cm="1">
        <f t="array" ref="W98">IF(H98="Request","No SLA for Request", IF(F98="Emergency",B98+(4/24), WORKDAY(B98, _xlfn.IFS(F98="High", 3, F98="Normal", 5, F98="Low", 10))))</f>
        <v>43794</v>
      </c>
      <c r="X98" t="str">
        <f t="shared" si="1"/>
        <v>Yes</v>
      </c>
    </row>
    <row r="99" spans="1:24" ht="12.75" x14ac:dyDescent="0.2">
      <c r="A99" s="3">
        <v>111227</v>
      </c>
      <c r="B99" s="8">
        <v>43623.595833333333</v>
      </c>
      <c r="C99" s="3" t="s">
        <v>274</v>
      </c>
      <c r="D99" s="3" t="s">
        <v>49</v>
      </c>
      <c r="E99" s="3" t="s">
        <v>50</v>
      </c>
      <c r="F99" s="3" t="s">
        <v>92</v>
      </c>
      <c r="G99" s="3" t="s">
        <v>29</v>
      </c>
      <c r="H99" s="3" t="s">
        <v>30</v>
      </c>
      <c r="I99" s="3" t="s">
        <v>31</v>
      </c>
      <c r="J99" s="3" t="s">
        <v>32</v>
      </c>
      <c r="K99" s="8">
        <v>43790.745833333334</v>
      </c>
      <c r="L99" s="8">
        <v>43624.095833333333</v>
      </c>
      <c r="M99" s="3">
        <v>0</v>
      </c>
      <c r="N99" s="3">
        <v>1</v>
      </c>
      <c r="O99" s="3" t="s">
        <v>33</v>
      </c>
      <c r="P99" s="10" t="s">
        <v>576</v>
      </c>
      <c r="Q99" s="3" t="s">
        <v>34</v>
      </c>
      <c r="R99" s="3">
        <v>32</v>
      </c>
      <c r="S99" s="3">
        <v>4</v>
      </c>
      <c r="T99" s="10" t="s">
        <v>576</v>
      </c>
      <c r="U99" s="10" t="s">
        <v>576</v>
      </c>
      <c r="V99" s="3" t="s">
        <v>48</v>
      </c>
      <c r="W99" s="11" cm="1">
        <f t="array" ref="W99">IF(H99="Request","No SLA for Request", IF(F99="Emergency",B99+(4/24), WORKDAY(B99, _xlfn.IFS(F99="High", 3, F99="Normal", 5, F99="Low", 10))))</f>
        <v>43628</v>
      </c>
      <c r="X99" t="str">
        <f t="shared" si="1"/>
        <v>Yes</v>
      </c>
    </row>
    <row r="100" spans="1:24" ht="12.75" x14ac:dyDescent="0.2">
      <c r="A100" s="3">
        <v>111334</v>
      </c>
      <c r="B100" s="8">
        <v>43763.621527777781</v>
      </c>
      <c r="C100" s="3" t="s">
        <v>107</v>
      </c>
      <c r="D100" s="3" t="s">
        <v>60</v>
      </c>
      <c r="E100" s="3" t="s">
        <v>581</v>
      </c>
      <c r="F100" s="3" t="s">
        <v>92</v>
      </c>
      <c r="G100" s="3" t="s">
        <v>577</v>
      </c>
      <c r="H100" s="3" t="s">
        <v>30</v>
      </c>
      <c r="I100" s="3" t="s">
        <v>31</v>
      </c>
      <c r="J100" s="3" t="s">
        <v>32</v>
      </c>
      <c r="K100" s="8">
        <v>43775.720138888886</v>
      </c>
      <c r="L100" s="8">
        <v>43764.121527777781</v>
      </c>
      <c r="M100" s="3">
        <v>0</v>
      </c>
      <c r="N100" s="3">
        <v>1</v>
      </c>
      <c r="O100" s="3" t="s">
        <v>58</v>
      </c>
      <c r="P100" s="10" t="s">
        <v>576</v>
      </c>
      <c r="Q100" s="3" t="s">
        <v>46</v>
      </c>
      <c r="R100" s="3">
        <v>6</v>
      </c>
      <c r="S100" s="3">
        <v>0</v>
      </c>
      <c r="T100" s="10" t="s">
        <v>576</v>
      </c>
      <c r="U100" s="10" t="s">
        <v>576</v>
      </c>
      <c r="V100" s="3" t="s">
        <v>48</v>
      </c>
      <c r="W100" s="11" cm="1">
        <f t="array" ref="W100">IF(H100="Request","No SLA for Request", IF(F100="Emergency",B100+(4/24), WORKDAY(B100, _xlfn.IFS(F100="High", 3, F100="Normal", 5, F100="Low", 10))))</f>
        <v>43768</v>
      </c>
      <c r="X100" t="str">
        <f t="shared" si="1"/>
        <v>Yes</v>
      </c>
    </row>
    <row r="101" spans="1:24" ht="12.75" x14ac:dyDescent="0.2">
      <c r="A101" s="3">
        <v>111322</v>
      </c>
      <c r="B101" s="8">
        <v>43749.570833333331</v>
      </c>
      <c r="C101" s="3" t="s">
        <v>587</v>
      </c>
      <c r="D101" s="3" t="s">
        <v>96</v>
      </c>
      <c r="E101" s="3" t="s">
        <v>97</v>
      </c>
      <c r="F101" s="3" t="s">
        <v>92</v>
      </c>
      <c r="G101" s="3" t="s">
        <v>29</v>
      </c>
      <c r="H101" s="3" t="s">
        <v>30</v>
      </c>
      <c r="I101" s="3" t="s">
        <v>31</v>
      </c>
      <c r="J101" s="3" t="s">
        <v>32</v>
      </c>
      <c r="K101" s="8">
        <v>43759.748611111114</v>
      </c>
      <c r="L101" s="8">
        <v>43754.708333333336</v>
      </c>
      <c r="M101" s="3">
        <v>0</v>
      </c>
      <c r="N101" s="3">
        <v>1</v>
      </c>
      <c r="O101" s="3" t="s">
        <v>33</v>
      </c>
      <c r="P101" s="10" t="s">
        <v>576</v>
      </c>
      <c r="Q101" s="3" t="s">
        <v>43</v>
      </c>
      <c r="R101" s="3">
        <v>14</v>
      </c>
      <c r="S101" s="3">
        <v>7</v>
      </c>
      <c r="T101" s="10" t="s">
        <v>576</v>
      </c>
      <c r="U101" s="10" t="s">
        <v>576</v>
      </c>
      <c r="V101" s="3" t="s">
        <v>37</v>
      </c>
      <c r="W101" s="11" cm="1">
        <f t="array" ref="W101">IF(H101="Request","No SLA for Request", IF(F101="Emergency",B101+(4/24), WORKDAY(B101, _xlfn.IFS(F101="High", 3, F101="Normal", 5, F101="Low", 10))))</f>
        <v>43754</v>
      </c>
      <c r="X101" t="str">
        <f t="shared" si="1"/>
        <v>Yes</v>
      </c>
    </row>
    <row r="102" spans="1:24" ht="12.75" x14ac:dyDescent="0.2">
      <c r="A102" s="3">
        <v>111312</v>
      </c>
      <c r="B102" s="8">
        <v>43739.439583333333</v>
      </c>
      <c r="C102" s="3" t="s">
        <v>275</v>
      </c>
      <c r="D102" s="3" t="s">
        <v>44</v>
      </c>
      <c r="E102" s="3" t="s">
        <v>45</v>
      </c>
      <c r="F102" s="3" t="s">
        <v>92</v>
      </c>
      <c r="G102" s="3" t="s">
        <v>577</v>
      </c>
      <c r="H102" s="3" t="s">
        <v>30</v>
      </c>
      <c r="I102" s="3" t="s">
        <v>31</v>
      </c>
      <c r="J102" s="3" t="s">
        <v>32</v>
      </c>
      <c r="K102" s="8">
        <v>43759.573611111111</v>
      </c>
      <c r="L102" s="8">
        <v>43739.939583333333</v>
      </c>
      <c r="M102" s="3">
        <v>0</v>
      </c>
      <c r="N102" s="3">
        <v>1</v>
      </c>
      <c r="O102" s="3" t="s">
        <v>58</v>
      </c>
      <c r="P102" s="10" t="s">
        <v>576</v>
      </c>
      <c r="Q102" s="3" t="s">
        <v>46</v>
      </c>
      <c r="R102" s="3">
        <v>4</v>
      </c>
      <c r="S102" s="3">
        <v>0</v>
      </c>
      <c r="T102" s="10" t="s">
        <v>576</v>
      </c>
      <c r="U102" s="10" t="s">
        <v>576</v>
      </c>
      <c r="V102" s="3" t="s">
        <v>37</v>
      </c>
      <c r="W102" s="11" cm="1">
        <f t="array" ref="W102">IF(H102="Request","No SLA for Request", IF(F102="Emergency",B102+(4/24), WORKDAY(B102, _xlfn.IFS(F102="High", 3, F102="Normal", 5, F102="Low", 10))))</f>
        <v>43742</v>
      </c>
      <c r="X102" t="str">
        <f t="shared" si="1"/>
        <v>Yes</v>
      </c>
    </row>
    <row r="103" spans="1:24" ht="12.75" x14ac:dyDescent="0.2">
      <c r="A103" s="3">
        <v>111301</v>
      </c>
      <c r="B103" s="8">
        <v>43725.419444444444</v>
      </c>
      <c r="C103" s="3" t="s">
        <v>108</v>
      </c>
      <c r="D103" s="3" t="s">
        <v>44</v>
      </c>
      <c r="E103" s="3" t="s">
        <v>45</v>
      </c>
      <c r="F103" s="3" t="s">
        <v>92</v>
      </c>
      <c r="G103" s="3" t="s">
        <v>577</v>
      </c>
      <c r="H103" s="3" t="s">
        <v>53</v>
      </c>
      <c r="I103" s="3" t="s">
        <v>31</v>
      </c>
      <c r="J103" s="3" t="s">
        <v>32</v>
      </c>
      <c r="K103" s="8">
        <v>43759.572916666664</v>
      </c>
      <c r="L103" s="8">
        <v>43725.919444444444</v>
      </c>
      <c r="M103" s="3">
        <v>0</v>
      </c>
      <c r="N103" s="3">
        <v>1</v>
      </c>
      <c r="O103" s="3" t="s">
        <v>58</v>
      </c>
      <c r="P103" s="10" t="s">
        <v>576</v>
      </c>
      <c r="Q103" s="3" t="s">
        <v>46</v>
      </c>
      <c r="R103" s="3">
        <v>10</v>
      </c>
      <c r="S103" s="3">
        <v>2</v>
      </c>
      <c r="T103" s="10" t="s">
        <v>576</v>
      </c>
      <c r="U103" s="10" t="s">
        <v>576</v>
      </c>
      <c r="V103" s="3" t="s">
        <v>37</v>
      </c>
      <c r="W103" s="11" t="str" cm="1">
        <f t="array" ref="W103">IF(H103="Request","No SLA for Request", IF(F103="Emergency",B103+(4/24), WORKDAY(B103, _xlfn.IFS(F103="High", 3, F103="Normal", 5, F103="Low", 10))))</f>
        <v>No SLA for Request</v>
      </c>
      <c r="X103" t="str">
        <f t="shared" si="1"/>
        <v>N/A</v>
      </c>
    </row>
    <row r="104" spans="1:24" ht="12.75" x14ac:dyDescent="0.2">
      <c r="A104" s="3">
        <v>111325</v>
      </c>
      <c r="B104" s="8">
        <v>43752.699305555558</v>
      </c>
      <c r="C104" s="3" t="s">
        <v>276</v>
      </c>
      <c r="D104" s="3" t="s">
        <v>44</v>
      </c>
      <c r="E104" s="3" t="s">
        <v>45</v>
      </c>
      <c r="F104" s="3" t="s">
        <v>92</v>
      </c>
      <c r="G104" s="3" t="s">
        <v>577</v>
      </c>
      <c r="H104" s="3" t="s">
        <v>53</v>
      </c>
      <c r="I104" s="3" t="s">
        <v>31</v>
      </c>
      <c r="J104" s="3" t="s">
        <v>32</v>
      </c>
      <c r="K104" s="8">
        <v>43759.572222222225</v>
      </c>
      <c r="L104" s="8">
        <v>43753.199305555558</v>
      </c>
      <c r="M104" s="3">
        <v>0</v>
      </c>
      <c r="N104" s="3">
        <v>1</v>
      </c>
      <c r="O104" s="3" t="s">
        <v>58</v>
      </c>
      <c r="P104" s="10" t="s">
        <v>576</v>
      </c>
      <c r="Q104" s="3" t="s">
        <v>46</v>
      </c>
      <c r="R104" s="3">
        <v>4</v>
      </c>
      <c r="S104" s="3">
        <v>0</v>
      </c>
      <c r="T104" s="10" t="s">
        <v>576</v>
      </c>
      <c r="U104" s="10" t="s">
        <v>576</v>
      </c>
      <c r="V104" s="3" t="s">
        <v>37</v>
      </c>
      <c r="W104" s="11" t="str" cm="1">
        <f t="array" ref="W104">IF(H104="Request","No SLA for Request", IF(F104="Emergency",B104+(4/24), WORKDAY(B104, _xlfn.IFS(F104="High", 3, F104="Normal", 5, F104="Low", 10))))</f>
        <v>No SLA for Request</v>
      </c>
      <c r="X104" t="str">
        <f t="shared" si="1"/>
        <v>N/A</v>
      </c>
    </row>
    <row r="105" spans="1:24" ht="12.75" x14ac:dyDescent="0.2">
      <c r="A105" s="3">
        <v>111321</v>
      </c>
      <c r="B105" s="8">
        <v>43747.397222222222</v>
      </c>
      <c r="C105" s="3" t="s">
        <v>277</v>
      </c>
      <c r="D105" s="3" t="s">
        <v>56</v>
      </c>
      <c r="E105" s="3" t="s">
        <v>57</v>
      </c>
      <c r="F105" s="3" t="s">
        <v>92</v>
      </c>
      <c r="G105" s="3" t="s">
        <v>29</v>
      </c>
      <c r="H105" s="3" t="s">
        <v>30</v>
      </c>
      <c r="I105" s="3" t="s">
        <v>31</v>
      </c>
      <c r="J105" s="3" t="s">
        <v>32</v>
      </c>
      <c r="K105" s="8">
        <v>43756.418749999997</v>
      </c>
      <c r="L105" s="8">
        <v>43755.708333333336</v>
      </c>
      <c r="M105" s="3">
        <v>0</v>
      </c>
      <c r="N105" s="3">
        <v>1</v>
      </c>
      <c r="O105" s="3" t="s">
        <v>33</v>
      </c>
      <c r="P105" s="10" t="s">
        <v>576</v>
      </c>
      <c r="Q105" s="3" t="s">
        <v>43</v>
      </c>
      <c r="R105" s="3">
        <v>15</v>
      </c>
      <c r="S105" s="3">
        <v>6</v>
      </c>
      <c r="T105" s="10" t="s">
        <v>576</v>
      </c>
      <c r="U105" s="10" t="s">
        <v>576</v>
      </c>
      <c r="V105" s="3" t="s">
        <v>48</v>
      </c>
      <c r="W105" s="11" cm="1">
        <f t="array" ref="W105">IF(H105="Request","No SLA for Request", IF(F105="Emergency",B105+(4/24), WORKDAY(B105, _xlfn.IFS(F105="High", 3, F105="Normal", 5, F105="Low", 10))))</f>
        <v>43752</v>
      </c>
      <c r="X105" t="str">
        <f t="shared" si="1"/>
        <v>Yes</v>
      </c>
    </row>
    <row r="106" spans="1:24" ht="12.75" x14ac:dyDescent="0.2">
      <c r="A106" s="3">
        <v>111314</v>
      </c>
      <c r="B106" s="8">
        <v>43740.706944444442</v>
      </c>
      <c r="C106" s="3" t="s">
        <v>234</v>
      </c>
      <c r="D106" s="3" t="s">
        <v>78</v>
      </c>
      <c r="E106" s="3" t="s">
        <v>79</v>
      </c>
      <c r="F106" s="3" t="s">
        <v>92</v>
      </c>
      <c r="G106" s="3" t="s">
        <v>29</v>
      </c>
      <c r="H106" s="3" t="s">
        <v>30</v>
      </c>
      <c r="I106" s="3" t="s">
        <v>31</v>
      </c>
      <c r="J106" s="3" t="s">
        <v>32</v>
      </c>
      <c r="K106" s="8">
        <v>43747.477083333331</v>
      </c>
      <c r="L106" s="8">
        <v>43741.206944444442</v>
      </c>
      <c r="M106" s="3">
        <v>0</v>
      </c>
      <c r="N106" s="3">
        <v>1</v>
      </c>
      <c r="O106" s="3" t="s">
        <v>33</v>
      </c>
      <c r="P106" s="10" t="s">
        <v>576</v>
      </c>
      <c r="Q106" s="3" t="s">
        <v>43</v>
      </c>
      <c r="R106" s="3">
        <v>8</v>
      </c>
      <c r="S106" s="3">
        <v>1</v>
      </c>
      <c r="T106" s="10" t="s">
        <v>576</v>
      </c>
      <c r="U106" s="10" t="s">
        <v>576</v>
      </c>
      <c r="V106" s="3" t="s">
        <v>37</v>
      </c>
      <c r="W106" s="11" cm="1">
        <f t="array" ref="W106">IF(H106="Request","No SLA for Request", IF(F106="Emergency",B106+(4/24), WORKDAY(B106, _xlfn.IFS(F106="High", 3, F106="Normal", 5, F106="Low", 10))))</f>
        <v>43745</v>
      </c>
      <c r="X106" t="str">
        <f t="shared" si="1"/>
        <v>Yes</v>
      </c>
    </row>
    <row r="107" spans="1:24" ht="12.75" x14ac:dyDescent="0.2">
      <c r="A107" s="3">
        <v>111261</v>
      </c>
      <c r="B107" s="8">
        <v>43662.449305555558</v>
      </c>
      <c r="C107" s="3" t="s">
        <v>109</v>
      </c>
      <c r="D107" s="3" t="s">
        <v>60</v>
      </c>
      <c r="E107" s="3" t="s">
        <v>581</v>
      </c>
      <c r="F107" s="3" t="s">
        <v>92</v>
      </c>
      <c r="G107" s="3" t="s">
        <v>577</v>
      </c>
      <c r="H107" s="3" t="s">
        <v>53</v>
      </c>
      <c r="I107" s="3" t="s">
        <v>31</v>
      </c>
      <c r="J107" s="3" t="s">
        <v>32</v>
      </c>
      <c r="K107" s="8">
        <v>43746.769444444442</v>
      </c>
      <c r="L107" s="8">
        <v>43662.949305555558</v>
      </c>
      <c r="M107" s="3">
        <v>0</v>
      </c>
      <c r="N107" s="3">
        <v>1</v>
      </c>
      <c r="O107" s="3" t="s">
        <v>58</v>
      </c>
      <c r="P107" s="10" t="s">
        <v>576</v>
      </c>
      <c r="Q107" s="3" t="s">
        <v>46</v>
      </c>
      <c r="R107" s="3">
        <v>18</v>
      </c>
      <c r="S107" s="3">
        <v>1</v>
      </c>
      <c r="T107" s="10" t="s">
        <v>576</v>
      </c>
      <c r="U107" s="10" t="s">
        <v>576</v>
      </c>
      <c r="V107" s="3" t="s">
        <v>48</v>
      </c>
      <c r="W107" s="11" t="str" cm="1">
        <f t="array" ref="W107">IF(H107="Request","No SLA for Request", IF(F107="Emergency",B107+(4/24), WORKDAY(B107, _xlfn.IFS(F107="High", 3, F107="Normal", 5, F107="Low", 10))))</f>
        <v>No SLA for Request</v>
      </c>
      <c r="X107" t="str">
        <f t="shared" si="1"/>
        <v>N/A</v>
      </c>
    </row>
    <row r="108" spans="1:24" ht="12.75" x14ac:dyDescent="0.2">
      <c r="A108" s="3">
        <v>111317</v>
      </c>
      <c r="B108" s="8">
        <v>43742.513194444444</v>
      </c>
      <c r="C108" s="3" t="s">
        <v>278</v>
      </c>
      <c r="D108" s="3" t="s">
        <v>56</v>
      </c>
      <c r="E108" s="3" t="s">
        <v>57</v>
      </c>
      <c r="F108" s="3" t="s">
        <v>92</v>
      </c>
      <c r="G108" s="3" t="s">
        <v>29</v>
      </c>
      <c r="H108" s="3" t="s">
        <v>30</v>
      </c>
      <c r="I108" s="3" t="s">
        <v>31</v>
      </c>
      <c r="J108" s="3" t="s">
        <v>32</v>
      </c>
      <c r="K108" s="8">
        <v>43745.726388888892</v>
      </c>
      <c r="L108" s="8">
        <v>43745.708333333336</v>
      </c>
      <c r="M108" s="3">
        <v>0</v>
      </c>
      <c r="N108" s="3">
        <v>1</v>
      </c>
      <c r="O108" s="3" t="s">
        <v>33</v>
      </c>
      <c r="P108" s="10" t="s">
        <v>576</v>
      </c>
      <c r="Q108" s="3" t="s">
        <v>43</v>
      </c>
      <c r="R108" s="3">
        <v>7</v>
      </c>
      <c r="S108" s="3">
        <v>4</v>
      </c>
      <c r="T108" s="10" t="s">
        <v>576</v>
      </c>
      <c r="U108" s="10" t="s">
        <v>576</v>
      </c>
      <c r="V108" s="3" t="s">
        <v>48</v>
      </c>
      <c r="W108" s="11" cm="1">
        <f t="array" ref="W108">IF(H108="Request","No SLA for Request", IF(F108="Emergency",B108+(4/24), WORKDAY(B108, _xlfn.IFS(F108="High", 3, F108="Normal", 5, F108="Low", 10))))</f>
        <v>43747</v>
      </c>
      <c r="X108" t="str">
        <f t="shared" si="1"/>
        <v>No</v>
      </c>
    </row>
    <row r="109" spans="1:24" ht="12.75" x14ac:dyDescent="0.2">
      <c r="A109" s="3">
        <v>111177</v>
      </c>
      <c r="B109" s="8">
        <v>43482.041666666664</v>
      </c>
      <c r="C109" s="3" t="s">
        <v>588</v>
      </c>
      <c r="D109" s="3" t="s">
        <v>110</v>
      </c>
      <c r="E109" s="3" t="s">
        <v>589</v>
      </c>
      <c r="F109" s="3" t="s">
        <v>92</v>
      </c>
      <c r="G109" s="3" t="s">
        <v>577</v>
      </c>
      <c r="H109" s="3" t="s">
        <v>30</v>
      </c>
      <c r="I109" s="3" t="s">
        <v>31</v>
      </c>
      <c r="J109" s="3" t="s">
        <v>32</v>
      </c>
      <c r="K109" s="8">
        <v>43739.450694444444</v>
      </c>
      <c r="L109" s="8">
        <v>43483.041666666664</v>
      </c>
      <c r="M109" s="3">
        <v>0</v>
      </c>
      <c r="N109" s="3">
        <v>1</v>
      </c>
      <c r="O109" s="3" t="s">
        <v>58</v>
      </c>
      <c r="P109" s="10" t="s">
        <v>576</v>
      </c>
      <c r="Q109" s="3" t="s">
        <v>77</v>
      </c>
      <c r="R109" s="3">
        <v>6</v>
      </c>
      <c r="S109" s="3">
        <v>0</v>
      </c>
      <c r="T109" s="10" t="s">
        <v>576</v>
      </c>
      <c r="U109" s="10" t="s">
        <v>576</v>
      </c>
      <c r="V109" s="3" t="s">
        <v>37</v>
      </c>
      <c r="W109" s="11" cm="1">
        <f t="array" ref="W109">IF(H109="Request","No SLA for Request", IF(F109="Emergency",B109+(4/24), WORKDAY(B109, _xlfn.IFS(F109="High", 3, F109="Normal", 5, F109="Low", 10))))</f>
        <v>43487</v>
      </c>
      <c r="X109" t="str">
        <f t="shared" si="1"/>
        <v>Yes</v>
      </c>
    </row>
    <row r="110" spans="1:24" ht="12.75" x14ac:dyDescent="0.2">
      <c r="A110" s="3">
        <v>111271</v>
      </c>
      <c r="B110" s="8">
        <v>43670.612500000003</v>
      </c>
      <c r="C110" s="3" t="s">
        <v>279</v>
      </c>
      <c r="D110" s="3" t="s">
        <v>75</v>
      </c>
      <c r="E110" s="3" t="s">
        <v>76</v>
      </c>
      <c r="F110" s="3" t="s">
        <v>92</v>
      </c>
      <c r="G110" s="3" t="s">
        <v>577</v>
      </c>
      <c r="H110" s="3" t="s">
        <v>30</v>
      </c>
      <c r="I110" s="3" t="s">
        <v>31</v>
      </c>
      <c r="J110" s="3" t="s">
        <v>32</v>
      </c>
      <c r="K110" s="8">
        <v>43739.447222222225</v>
      </c>
      <c r="L110" s="8">
        <v>43671.112500000003</v>
      </c>
      <c r="M110" s="3">
        <v>0</v>
      </c>
      <c r="N110" s="3">
        <v>1</v>
      </c>
      <c r="O110" s="3" t="s">
        <v>58</v>
      </c>
      <c r="P110" s="10" t="s">
        <v>576</v>
      </c>
      <c r="Q110" s="3" t="s">
        <v>102</v>
      </c>
      <c r="R110" s="3">
        <v>9</v>
      </c>
      <c r="S110" s="3">
        <v>7</v>
      </c>
      <c r="T110" s="10" t="s">
        <v>576</v>
      </c>
      <c r="U110" s="10" t="s">
        <v>576</v>
      </c>
      <c r="V110" s="3" t="s">
        <v>37</v>
      </c>
      <c r="W110" s="11" cm="1">
        <f t="array" ref="W110">IF(H110="Request","No SLA for Request", IF(F110="Emergency",B110+(4/24), WORKDAY(B110, _xlfn.IFS(F110="High", 3, F110="Normal", 5, F110="Low", 10))))</f>
        <v>43675</v>
      </c>
      <c r="X110" t="str">
        <f t="shared" si="1"/>
        <v>Yes</v>
      </c>
    </row>
    <row r="111" spans="1:24" ht="12.75" x14ac:dyDescent="0.2">
      <c r="A111" s="3">
        <v>111297</v>
      </c>
      <c r="B111" s="8">
        <v>43717.446527777778</v>
      </c>
      <c r="C111" s="3" t="s">
        <v>590</v>
      </c>
      <c r="D111" s="3" t="s">
        <v>90</v>
      </c>
      <c r="E111" s="3" t="s">
        <v>91</v>
      </c>
      <c r="F111" s="3" t="s">
        <v>92</v>
      </c>
      <c r="G111" s="3" t="s">
        <v>29</v>
      </c>
      <c r="H111" s="3" t="s">
        <v>30</v>
      </c>
      <c r="I111" s="3" t="s">
        <v>31</v>
      </c>
      <c r="J111" s="3" t="s">
        <v>32</v>
      </c>
      <c r="K111" s="8">
        <v>43734.702777777777</v>
      </c>
      <c r="L111" s="8">
        <v>43731.729166666664</v>
      </c>
      <c r="M111" s="3">
        <v>0</v>
      </c>
      <c r="N111" s="3">
        <v>1</v>
      </c>
      <c r="O111" s="3" t="s">
        <v>33</v>
      </c>
      <c r="P111" s="10" t="s">
        <v>576</v>
      </c>
      <c r="Q111" s="3" t="s">
        <v>43</v>
      </c>
      <c r="R111" s="3">
        <v>32</v>
      </c>
      <c r="S111" s="3">
        <v>8</v>
      </c>
      <c r="T111" s="10" t="s">
        <v>576</v>
      </c>
      <c r="U111" s="10" t="s">
        <v>576</v>
      </c>
      <c r="V111" s="3" t="s">
        <v>37</v>
      </c>
      <c r="W111" s="11" cm="1">
        <f t="array" ref="W111">IF(H111="Request","No SLA for Request", IF(F111="Emergency",B111+(4/24), WORKDAY(B111, _xlfn.IFS(F111="High", 3, F111="Normal", 5, F111="Low", 10))))</f>
        <v>43720</v>
      </c>
      <c r="X111" t="str">
        <f t="shared" si="1"/>
        <v>Yes</v>
      </c>
    </row>
    <row r="112" spans="1:24" ht="12.75" x14ac:dyDescent="0.2">
      <c r="A112" s="3">
        <v>111291</v>
      </c>
      <c r="B112" s="8">
        <v>43705.386805555558</v>
      </c>
      <c r="C112" s="3" t="s">
        <v>234</v>
      </c>
      <c r="D112" s="3" t="s">
        <v>78</v>
      </c>
      <c r="E112" s="3" t="s">
        <v>79</v>
      </c>
      <c r="F112" s="3" t="s">
        <v>92</v>
      </c>
      <c r="G112" s="3" t="s">
        <v>29</v>
      </c>
      <c r="H112" s="3" t="s">
        <v>30</v>
      </c>
      <c r="I112" s="3" t="s">
        <v>31</v>
      </c>
      <c r="J112" s="3" t="s">
        <v>32</v>
      </c>
      <c r="K112" s="8">
        <v>43727.725694444445</v>
      </c>
      <c r="L112" s="12" t="s">
        <v>576</v>
      </c>
      <c r="M112" s="3">
        <v>0</v>
      </c>
      <c r="N112" s="3">
        <v>1</v>
      </c>
      <c r="O112" s="3" t="s">
        <v>33</v>
      </c>
      <c r="P112" s="10" t="s">
        <v>576</v>
      </c>
      <c r="Q112" s="3" t="s">
        <v>43</v>
      </c>
      <c r="R112" s="3">
        <v>12</v>
      </c>
      <c r="S112" s="3">
        <v>3</v>
      </c>
      <c r="T112" s="10" t="s">
        <v>576</v>
      </c>
      <c r="U112" s="10" t="s">
        <v>576</v>
      </c>
      <c r="V112" s="3" t="s">
        <v>37</v>
      </c>
      <c r="W112" s="11" cm="1">
        <f t="array" ref="W112">IF(H112="Request","No SLA for Request", IF(F112="Emergency",B112+(4/24), WORKDAY(B112, _xlfn.IFS(F112="High", 3, F112="Normal", 5, F112="Low", 10))))</f>
        <v>43710</v>
      </c>
      <c r="X112" t="str">
        <f t="shared" si="1"/>
        <v>Yes</v>
      </c>
    </row>
    <row r="113" spans="1:24" ht="12.75" x14ac:dyDescent="0.2">
      <c r="A113" s="3">
        <v>111296</v>
      </c>
      <c r="B113" s="8">
        <v>43711.43472222222</v>
      </c>
      <c r="C113" s="3" t="s">
        <v>280</v>
      </c>
      <c r="D113" s="3" t="s">
        <v>78</v>
      </c>
      <c r="E113" s="3" t="s">
        <v>79</v>
      </c>
      <c r="F113" s="3" t="s">
        <v>92</v>
      </c>
      <c r="G113" s="3" t="s">
        <v>29</v>
      </c>
      <c r="H113" s="3" t="s">
        <v>30</v>
      </c>
      <c r="I113" s="3" t="s">
        <v>31</v>
      </c>
      <c r="J113" s="3" t="s">
        <v>32</v>
      </c>
      <c r="K113" s="8">
        <v>43726.722916666666</v>
      </c>
      <c r="L113" s="8">
        <v>43721.708333333336</v>
      </c>
      <c r="M113" s="3">
        <v>0</v>
      </c>
      <c r="N113" s="3">
        <v>1</v>
      </c>
      <c r="O113" s="3" t="s">
        <v>33</v>
      </c>
      <c r="P113" s="10" t="s">
        <v>576</v>
      </c>
      <c r="Q113" s="3" t="s">
        <v>43</v>
      </c>
      <c r="R113" s="3">
        <v>19</v>
      </c>
      <c r="S113" s="3">
        <v>1</v>
      </c>
      <c r="T113" s="10" t="s">
        <v>576</v>
      </c>
      <c r="U113" s="10" t="s">
        <v>576</v>
      </c>
      <c r="V113" s="3" t="s">
        <v>37</v>
      </c>
      <c r="W113" s="11" cm="1">
        <f t="array" ref="W113">IF(H113="Request","No SLA for Request", IF(F113="Emergency",B113+(4/24), WORKDAY(B113, _xlfn.IFS(F113="High", 3, F113="Normal", 5, F113="Low", 10))))</f>
        <v>43714</v>
      </c>
      <c r="X113" t="str">
        <f t="shared" si="1"/>
        <v>Yes</v>
      </c>
    </row>
    <row r="114" spans="1:24" ht="12.75" x14ac:dyDescent="0.2">
      <c r="A114" s="3">
        <v>111299</v>
      </c>
      <c r="B114" s="8">
        <v>43718.395138888889</v>
      </c>
      <c r="C114" s="3" t="s">
        <v>281</v>
      </c>
      <c r="D114" s="3" t="s">
        <v>70</v>
      </c>
      <c r="E114" s="3" t="s">
        <v>71</v>
      </c>
      <c r="F114" s="3" t="s">
        <v>92</v>
      </c>
      <c r="G114" s="3" t="s">
        <v>29</v>
      </c>
      <c r="H114" s="3" t="s">
        <v>30</v>
      </c>
      <c r="I114" s="3" t="s">
        <v>31</v>
      </c>
      <c r="J114" s="3" t="s">
        <v>32</v>
      </c>
      <c r="K114" s="8">
        <v>43725.709722222222</v>
      </c>
      <c r="L114" s="8">
        <v>43718.895138888889</v>
      </c>
      <c r="M114" s="3">
        <v>0</v>
      </c>
      <c r="N114" s="3">
        <v>1</v>
      </c>
      <c r="O114" s="3" t="s">
        <v>33</v>
      </c>
      <c r="P114" s="10" t="s">
        <v>576</v>
      </c>
      <c r="Q114" s="3" t="s">
        <v>43</v>
      </c>
      <c r="R114" s="3">
        <v>7</v>
      </c>
      <c r="S114" s="3">
        <v>1</v>
      </c>
      <c r="T114" s="10" t="s">
        <v>576</v>
      </c>
      <c r="U114" s="10" t="s">
        <v>576</v>
      </c>
      <c r="V114" s="3" t="s">
        <v>51</v>
      </c>
      <c r="W114" s="11" cm="1">
        <f t="array" ref="W114">IF(H114="Request","No SLA for Request", IF(F114="Emergency",B114+(4/24), WORKDAY(B114, _xlfn.IFS(F114="High", 3, F114="Normal", 5, F114="Low", 10))))</f>
        <v>43721</v>
      </c>
      <c r="X114" t="str">
        <f t="shared" si="1"/>
        <v>Yes</v>
      </c>
    </row>
    <row r="115" spans="1:24" ht="12.75" x14ac:dyDescent="0.2">
      <c r="A115" s="3">
        <v>111120</v>
      </c>
      <c r="B115" s="8">
        <v>43502.404861111114</v>
      </c>
      <c r="C115" s="3" t="s">
        <v>282</v>
      </c>
      <c r="D115" s="3" t="s">
        <v>111</v>
      </c>
      <c r="E115" s="3" t="s">
        <v>112</v>
      </c>
      <c r="F115" s="3" t="s">
        <v>92</v>
      </c>
      <c r="G115" s="3" t="s">
        <v>29</v>
      </c>
      <c r="H115" s="3" t="s">
        <v>30</v>
      </c>
      <c r="I115" s="3" t="s">
        <v>31</v>
      </c>
      <c r="J115" s="3" t="s">
        <v>32</v>
      </c>
      <c r="K115" s="8">
        <v>43719.727083333331</v>
      </c>
      <c r="L115" s="12" t="s">
        <v>576</v>
      </c>
      <c r="M115" s="3">
        <v>0</v>
      </c>
      <c r="N115" s="3">
        <v>1</v>
      </c>
      <c r="O115" s="3" t="s">
        <v>33</v>
      </c>
      <c r="P115" s="10" t="s">
        <v>576</v>
      </c>
      <c r="Q115" s="3" t="s">
        <v>34</v>
      </c>
      <c r="R115" s="3">
        <v>11</v>
      </c>
      <c r="S115" s="3">
        <v>4</v>
      </c>
      <c r="T115" s="10" t="s">
        <v>576</v>
      </c>
      <c r="U115" s="10" t="s">
        <v>576</v>
      </c>
      <c r="V115" s="3" t="s">
        <v>37</v>
      </c>
      <c r="W115" s="11" cm="1">
        <f t="array" ref="W115">IF(H115="Request","No SLA for Request", IF(F115="Emergency",B115+(4/24), WORKDAY(B115, _xlfn.IFS(F115="High", 3, F115="Normal", 5, F115="Low", 10))))</f>
        <v>43507</v>
      </c>
      <c r="X115" t="str">
        <f t="shared" si="1"/>
        <v>Yes</v>
      </c>
    </row>
    <row r="116" spans="1:24" ht="12.75" x14ac:dyDescent="0.2">
      <c r="A116" s="3">
        <v>111114</v>
      </c>
      <c r="B116" s="8">
        <v>43497.425000000003</v>
      </c>
      <c r="C116" s="3" t="s">
        <v>283</v>
      </c>
      <c r="D116" s="3" t="s">
        <v>26</v>
      </c>
      <c r="E116" s="3" t="s">
        <v>27</v>
      </c>
      <c r="F116" s="3" t="s">
        <v>92</v>
      </c>
      <c r="G116" s="3" t="s">
        <v>29</v>
      </c>
      <c r="H116" s="3" t="s">
        <v>53</v>
      </c>
      <c r="I116" s="3" t="s">
        <v>31</v>
      </c>
      <c r="J116" s="3" t="s">
        <v>32</v>
      </c>
      <c r="K116" s="8">
        <v>43719.727083333331</v>
      </c>
      <c r="L116" s="12" t="s">
        <v>576</v>
      </c>
      <c r="M116" s="3">
        <v>0</v>
      </c>
      <c r="N116" s="3">
        <v>1</v>
      </c>
      <c r="O116" s="3" t="s">
        <v>33</v>
      </c>
      <c r="P116" s="10" t="s">
        <v>576</v>
      </c>
      <c r="Q116" s="3" t="s">
        <v>34</v>
      </c>
      <c r="R116" s="3">
        <v>41</v>
      </c>
      <c r="S116" s="3">
        <v>5</v>
      </c>
      <c r="T116" s="10" t="s">
        <v>576</v>
      </c>
      <c r="U116" s="10" t="s">
        <v>576</v>
      </c>
      <c r="V116" s="3" t="s">
        <v>37</v>
      </c>
      <c r="W116" s="11" t="str" cm="1">
        <f t="array" ref="W116">IF(H116="Request","No SLA for Request", IF(F116="Emergency",B116+(4/24), WORKDAY(B116, _xlfn.IFS(F116="High", 3, F116="Normal", 5, F116="Low", 10))))</f>
        <v>No SLA for Request</v>
      </c>
      <c r="X116" t="str">
        <f t="shared" si="1"/>
        <v>N/A</v>
      </c>
    </row>
    <row r="117" spans="1:24" ht="12.75" x14ac:dyDescent="0.2">
      <c r="A117" s="3">
        <v>111292</v>
      </c>
      <c r="B117" s="8">
        <v>43705.490277777775</v>
      </c>
      <c r="C117" s="3" t="s">
        <v>284</v>
      </c>
      <c r="D117" s="3" t="s">
        <v>73</v>
      </c>
      <c r="E117" s="3" t="s">
        <v>74</v>
      </c>
      <c r="F117" s="3" t="s">
        <v>92</v>
      </c>
      <c r="G117" s="3" t="s">
        <v>29</v>
      </c>
      <c r="H117" s="3" t="s">
        <v>53</v>
      </c>
      <c r="I117" s="3" t="s">
        <v>31</v>
      </c>
      <c r="J117" s="3" t="s">
        <v>32</v>
      </c>
      <c r="K117" s="8">
        <v>43719.72152777778</v>
      </c>
      <c r="L117" s="8">
        <v>43705.990277777775</v>
      </c>
      <c r="M117" s="3">
        <v>0</v>
      </c>
      <c r="N117" s="3">
        <v>1</v>
      </c>
      <c r="O117" s="3" t="s">
        <v>33</v>
      </c>
      <c r="P117" s="10" t="s">
        <v>576</v>
      </c>
      <c r="Q117" s="3" t="s">
        <v>34</v>
      </c>
      <c r="R117" s="3">
        <v>21</v>
      </c>
      <c r="S117" s="3">
        <v>5</v>
      </c>
      <c r="T117" s="10" t="s">
        <v>576</v>
      </c>
      <c r="U117" s="10" t="s">
        <v>576</v>
      </c>
      <c r="V117" s="3" t="s">
        <v>37</v>
      </c>
      <c r="W117" s="11" t="str" cm="1">
        <f t="array" ref="W117">IF(H117="Request","No SLA for Request", IF(F117="Emergency",B117+(4/24), WORKDAY(B117, _xlfn.IFS(F117="High", 3, F117="Normal", 5, F117="Low", 10))))</f>
        <v>No SLA for Request</v>
      </c>
      <c r="X117" t="str">
        <f t="shared" si="1"/>
        <v>N/A</v>
      </c>
    </row>
    <row r="118" spans="1:24" ht="12.75" x14ac:dyDescent="0.2">
      <c r="A118" s="3">
        <v>111286</v>
      </c>
      <c r="B118" s="8">
        <v>43690.588194444441</v>
      </c>
      <c r="C118" s="3" t="s">
        <v>285</v>
      </c>
      <c r="D118" s="3" t="s">
        <v>90</v>
      </c>
      <c r="E118" s="3" t="s">
        <v>91</v>
      </c>
      <c r="F118" s="3" t="s">
        <v>92</v>
      </c>
      <c r="G118" s="3" t="s">
        <v>29</v>
      </c>
      <c r="H118" s="3" t="s">
        <v>30</v>
      </c>
      <c r="I118" s="3" t="s">
        <v>31</v>
      </c>
      <c r="J118" s="3" t="s">
        <v>32</v>
      </c>
      <c r="K118" s="8">
        <v>43710.722222222219</v>
      </c>
      <c r="L118" s="8">
        <v>43691.088194444441</v>
      </c>
      <c r="M118" s="3">
        <v>0</v>
      </c>
      <c r="N118" s="3">
        <v>1</v>
      </c>
      <c r="O118" s="3" t="s">
        <v>33</v>
      </c>
      <c r="P118" s="10" t="s">
        <v>576</v>
      </c>
      <c r="Q118" s="3" t="s">
        <v>43</v>
      </c>
      <c r="R118" s="3">
        <v>12</v>
      </c>
      <c r="S118" s="3">
        <v>2</v>
      </c>
      <c r="T118" s="10" t="s">
        <v>576</v>
      </c>
      <c r="U118" s="10" t="s">
        <v>576</v>
      </c>
      <c r="V118" s="3" t="s">
        <v>37</v>
      </c>
      <c r="W118" s="11" cm="1">
        <f t="array" ref="W118">IF(H118="Request","No SLA for Request", IF(F118="Emergency",B118+(4/24), WORKDAY(B118, _xlfn.IFS(F118="High", 3, F118="Normal", 5, F118="Low", 10))))</f>
        <v>43693</v>
      </c>
      <c r="X118" t="str">
        <f t="shared" si="1"/>
        <v>Yes</v>
      </c>
    </row>
    <row r="119" spans="1:24" ht="12.75" x14ac:dyDescent="0.2">
      <c r="A119" s="3">
        <v>111288</v>
      </c>
      <c r="B119" s="8">
        <v>43697.383333333331</v>
      </c>
      <c r="C119" s="3" t="s">
        <v>286</v>
      </c>
      <c r="D119" s="3" t="s">
        <v>80</v>
      </c>
      <c r="E119" s="3" t="s">
        <v>81</v>
      </c>
      <c r="F119" s="3" t="s">
        <v>92</v>
      </c>
      <c r="G119" s="3" t="s">
        <v>29</v>
      </c>
      <c r="H119" s="3" t="s">
        <v>30</v>
      </c>
      <c r="I119" s="3" t="s">
        <v>31</v>
      </c>
      <c r="J119" s="3" t="s">
        <v>32</v>
      </c>
      <c r="K119" s="8">
        <v>43706.711111111108</v>
      </c>
      <c r="L119" s="8">
        <v>43697.883333333331</v>
      </c>
      <c r="M119" s="3">
        <v>0</v>
      </c>
      <c r="N119" s="3">
        <v>1</v>
      </c>
      <c r="O119" s="3" t="s">
        <v>33</v>
      </c>
      <c r="P119" s="10" t="s">
        <v>576</v>
      </c>
      <c r="Q119" s="3" t="s">
        <v>43</v>
      </c>
      <c r="R119" s="3">
        <v>9</v>
      </c>
      <c r="S119" s="3">
        <v>3</v>
      </c>
      <c r="T119" s="10" t="s">
        <v>576</v>
      </c>
      <c r="U119" s="10" t="s">
        <v>576</v>
      </c>
      <c r="V119" s="3" t="s">
        <v>37</v>
      </c>
      <c r="W119" s="11" cm="1">
        <f t="array" ref="W119">IF(H119="Request","No SLA for Request", IF(F119="Emergency",B119+(4/24), WORKDAY(B119, _xlfn.IFS(F119="High", 3, F119="Normal", 5, F119="Low", 10))))</f>
        <v>43700</v>
      </c>
      <c r="X119" t="str">
        <f t="shared" si="1"/>
        <v>Yes</v>
      </c>
    </row>
    <row r="120" spans="1:24" ht="12.75" x14ac:dyDescent="0.2">
      <c r="A120" s="3">
        <v>111206</v>
      </c>
      <c r="B120" s="8">
        <v>43606.634027777778</v>
      </c>
      <c r="C120" s="3" t="s">
        <v>234</v>
      </c>
      <c r="D120" s="3" t="s">
        <v>78</v>
      </c>
      <c r="E120" s="3" t="s">
        <v>79</v>
      </c>
      <c r="F120" s="3" t="s">
        <v>92</v>
      </c>
      <c r="G120" s="3" t="s">
        <v>29</v>
      </c>
      <c r="H120" s="3" t="s">
        <v>30</v>
      </c>
      <c r="I120" s="3" t="s">
        <v>31</v>
      </c>
      <c r="J120" s="3" t="s">
        <v>32</v>
      </c>
      <c r="K120" s="8">
        <v>43704.357638888891</v>
      </c>
      <c r="L120" s="8">
        <v>43607.134027777778</v>
      </c>
      <c r="M120" s="3">
        <v>0</v>
      </c>
      <c r="N120" s="3">
        <v>1</v>
      </c>
      <c r="O120" s="3" t="s">
        <v>33</v>
      </c>
      <c r="P120" s="10" t="s">
        <v>576</v>
      </c>
      <c r="Q120" s="3" t="s">
        <v>43</v>
      </c>
      <c r="R120" s="3">
        <v>46</v>
      </c>
      <c r="S120" s="3">
        <v>3</v>
      </c>
      <c r="T120" s="10" t="s">
        <v>576</v>
      </c>
      <c r="U120" s="10" t="s">
        <v>576</v>
      </c>
      <c r="V120" s="3" t="s">
        <v>37</v>
      </c>
      <c r="W120" s="11" cm="1">
        <f t="array" ref="W120">IF(H120="Request","No SLA for Request", IF(F120="Emergency",B120+(4/24), WORKDAY(B120, _xlfn.IFS(F120="High", 3, F120="Normal", 5, F120="Low", 10))))</f>
        <v>43609</v>
      </c>
      <c r="X120" t="str">
        <f t="shared" si="1"/>
        <v>Yes</v>
      </c>
    </row>
    <row r="121" spans="1:24" ht="12.75" x14ac:dyDescent="0.2">
      <c r="A121" s="3">
        <v>111201</v>
      </c>
      <c r="B121" s="8">
        <v>43599.666666666664</v>
      </c>
      <c r="C121" s="3" t="s">
        <v>113</v>
      </c>
      <c r="D121" s="3" t="s">
        <v>103</v>
      </c>
      <c r="E121" s="3" t="s">
        <v>104</v>
      </c>
      <c r="F121" s="3" t="s">
        <v>92</v>
      </c>
      <c r="G121" s="3" t="s">
        <v>29</v>
      </c>
      <c r="H121" s="3" t="s">
        <v>30</v>
      </c>
      <c r="I121" s="3" t="s">
        <v>31</v>
      </c>
      <c r="J121" s="3" t="s">
        <v>32</v>
      </c>
      <c r="K121" s="8">
        <v>43699.786805555559</v>
      </c>
      <c r="L121" s="8">
        <v>43696.708333333336</v>
      </c>
      <c r="M121" s="3">
        <v>0</v>
      </c>
      <c r="N121" s="3">
        <v>1</v>
      </c>
      <c r="O121" s="3" t="s">
        <v>33</v>
      </c>
      <c r="P121" s="10" t="s">
        <v>576</v>
      </c>
      <c r="Q121" s="3" t="s">
        <v>43</v>
      </c>
      <c r="R121" s="3">
        <v>20</v>
      </c>
      <c r="S121" s="3">
        <v>3</v>
      </c>
      <c r="T121" s="10" t="s">
        <v>576</v>
      </c>
      <c r="U121" s="10" t="s">
        <v>576</v>
      </c>
      <c r="V121" s="3" t="s">
        <v>37</v>
      </c>
      <c r="W121" s="11" cm="1">
        <f t="array" ref="W121">IF(H121="Request","No SLA for Request", IF(F121="Emergency",B121+(4/24), WORKDAY(B121, _xlfn.IFS(F121="High", 3, F121="Normal", 5, F121="Low", 10))))</f>
        <v>43602</v>
      </c>
      <c r="X121" t="str">
        <f t="shared" si="1"/>
        <v>Yes</v>
      </c>
    </row>
    <row r="122" spans="1:24" ht="12.75" x14ac:dyDescent="0.2">
      <c r="A122" s="3">
        <v>111284</v>
      </c>
      <c r="B122" s="8">
        <v>43686.350694444445</v>
      </c>
      <c r="C122" s="3" t="s">
        <v>287</v>
      </c>
      <c r="D122" s="3" t="s">
        <v>63</v>
      </c>
      <c r="E122" s="3" t="s">
        <v>64</v>
      </c>
      <c r="F122" s="3" t="s">
        <v>92</v>
      </c>
      <c r="G122" s="3" t="s">
        <v>29</v>
      </c>
      <c r="H122" s="3" t="s">
        <v>30</v>
      </c>
      <c r="I122" s="3" t="s">
        <v>31</v>
      </c>
      <c r="J122" s="3" t="s">
        <v>32</v>
      </c>
      <c r="K122" s="8">
        <v>43697.711111111108</v>
      </c>
      <c r="L122" s="8">
        <v>43690.708333333336</v>
      </c>
      <c r="M122" s="3">
        <v>0</v>
      </c>
      <c r="N122" s="3">
        <v>1</v>
      </c>
      <c r="O122" s="3" t="s">
        <v>33</v>
      </c>
      <c r="P122" s="10" t="s">
        <v>576</v>
      </c>
      <c r="Q122" s="3" t="s">
        <v>34</v>
      </c>
      <c r="R122" s="3">
        <v>11</v>
      </c>
      <c r="S122" s="3">
        <v>2</v>
      </c>
      <c r="T122" s="10" t="s">
        <v>576</v>
      </c>
      <c r="U122" s="10" t="s">
        <v>576</v>
      </c>
      <c r="V122" s="3" t="s">
        <v>37</v>
      </c>
      <c r="W122" s="11" cm="1">
        <f t="array" ref="W122">IF(H122="Request","No SLA for Request", IF(F122="Emergency",B122+(4/24), WORKDAY(B122, _xlfn.IFS(F122="High", 3, F122="Normal", 5, F122="Low", 10))))</f>
        <v>43691</v>
      </c>
      <c r="X122" t="str">
        <f t="shared" si="1"/>
        <v>Yes</v>
      </c>
    </row>
    <row r="123" spans="1:24" ht="12.75" x14ac:dyDescent="0.2">
      <c r="A123" s="3">
        <v>111281</v>
      </c>
      <c r="B123" s="8">
        <v>43679.615277777775</v>
      </c>
      <c r="C123" s="3" t="s">
        <v>288</v>
      </c>
      <c r="D123" s="3" t="s">
        <v>49</v>
      </c>
      <c r="E123" s="3" t="s">
        <v>50</v>
      </c>
      <c r="F123" s="3" t="s">
        <v>92</v>
      </c>
      <c r="G123" s="3" t="s">
        <v>29</v>
      </c>
      <c r="H123" s="3" t="s">
        <v>30</v>
      </c>
      <c r="I123" s="3" t="s">
        <v>31</v>
      </c>
      <c r="J123" s="3" t="s">
        <v>32</v>
      </c>
      <c r="K123" s="8">
        <v>43683.355555555558</v>
      </c>
      <c r="L123" s="12" t="s">
        <v>576</v>
      </c>
      <c r="M123" s="3">
        <v>0</v>
      </c>
      <c r="N123" s="3">
        <v>1</v>
      </c>
      <c r="O123" s="3" t="s">
        <v>33</v>
      </c>
      <c r="P123" s="10" t="s">
        <v>576</v>
      </c>
      <c r="Q123" s="3" t="s">
        <v>34</v>
      </c>
      <c r="R123" s="3">
        <v>7</v>
      </c>
      <c r="S123" s="3">
        <v>2</v>
      </c>
      <c r="T123" s="10" t="s">
        <v>576</v>
      </c>
      <c r="U123" s="10" t="s">
        <v>576</v>
      </c>
      <c r="V123" s="3" t="s">
        <v>37</v>
      </c>
      <c r="W123" s="11" cm="1">
        <f t="array" ref="W123">IF(H123="Request","No SLA for Request", IF(F123="Emergency",B123+(4/24), WORKDAY(B123, _xlfn.IFS(F123="High", 3, F123="Normal", 5, F123="Low", 10))))</f>
        <v>43684</v>
      </c>
      <c r="X123" t="str">
        <f t="shared" si="1"/>
        <v>No</v>
      </c>
    </row>
    <row r="124" spans="1:24" ht="12.75" x14ac:dyDescent="0.2">
      <c r="A124" s="3">
        <v>111273</v>
      </c>
      <c r="B124" s="8">
        <v>43674.672222222223</v>
      </c>
      <c r="C124" s="3" t="s">
        <v>289</v>
      </c>
      <c r="D124" s="3" t="s">
        <v>49</v>
      </c>
      <c r="E124" s="3" t="s">
        <v>50</v>
      </c>
      <c r="F124" s="3" t="s">
        <v>92</v>
      </c>
      <c r="G124" s="3" t="s">
        <v>29</v>
      </c>
      <c r="H124" s="3" t="s">
        <v>30</v>
      </c>
      <c r="I124" s="3" t="s">
        <v>31</v>
      </c>
      <c r="J124" s="3" t="s">
        <v>32</v>
      </c>
      <c r="K124" s="8">
        <v>43683.355555555558</v>
      </c>
      <c r="L124" s="8">
        <v>43675.708333333336</v>
      </c>
      <c r="M124" s="3">
        <v>0</v>
      </c>
      <c r="N124" s="3">
        <v>1</v>
      </c>
      <c r="O124" s="3" t="s">
        <v>33</v>
      </c>
      <c r="P124" s="10" t="s">
        <v>576</v>
      </c>
      <c r="Q124" s="3" t="s">
        <v>34</v>
      </c>
      <c r="R124" s="3">
        <v>10</v>
      </c>
      <c r="S124" s="3">
        <v>6</v>
      </c>
      <c r="T124" s="10" t="s">
        <v>576</v>
      </c>
      <c r="U124" s="10" t="s">
        <v>576</v>
      </c>
      <c r="V124" s="3" t="s">
        <v>37</v>
      </c>
      <c r="W124" s="11" cm="1">
        <f t="array" ref="W124">IF(H124="Request","No SLA for Request", IF(F124="Emergency",B124+(4/24), WORKDAY(B124, _xlfn.IFS(F124="High", 3, F124="Normal", 5, F124="Low", 10))))</f>
        <v>43677</v>
      </c>
      <c r="X124" t="str">
        <f t="shared" si="1"/>
        <v>Yes</v>
      </c>
    </row>
    <row r="125" spans="1:24" ht="12.75" x14ac:dyDescent="0.2">
      <c r="A125" s="3">
        <v>111269</v>
      </c>
      <c r="B125" s="8">
        <v>43669.462500000001</v>
      </c>
      <c r="C125" s="3" t="s">
        <v>290</v>
      </c>
      <c r="D125" s="3" t="s">
        <v>80</v>
      </c>
      <c r="E125" s="3" t="s">
        <v>81</v>
      </c>
      <c r="F125" s="3" t="s">
        <v>92</v>
      </c>
      <c r="G125" s="3" t="s">
        <v>29</v>
      </c>
      <c r="H125" s="3" t="s">
        <v>30</v>
      </c>
      <c r="I125" s="3" t="s">
        <v>31</v>
      </c>
      <c r="J125" s="3" t="s">
        <v>32</v>
      </c>
      <c r="K125" s="8">
        <v>43675.73541666667</v>
      </c>
      <c r="L125" s="8">
        <v>43669.962500000001</v>
      </c>
      <c r="M125" s="3">
        <v>0</v>
      </c>
      <c r="N125" s="3">
        <v>1</v>
      </c>
      <c r="O125" s="3" t="s">
        <v>33</v>
      </c>
      <c r="P125" s="10" t="s">
        <v>576</v>
      </c>
      <c r="Q125" s="3" t="s">
        <v>43</v>
      </c>
      <c r="R125" s="3">
        <v>9</v>
      </c>
      <c r="S125" s="3">
        <v>2</v>
      </c>
      <c r="T125" s="10" t="s">
        <v>576</v>
      </c>
      <c r="U125" s="10" t="s">
        <v>576</v>
      </c>
      <c r="V125" s="3" t="s">
        <v>37</v>
      </c>
      <c r="W125" s="11" cm="1">
        <f t="array" ref="W125">IF(H125="Request","No SLA for Request", IF(F125="Emergency",B125+(4/24), WORKDAY(B125, _xlfn.IFS(F125="High", 3, F125="Normal", 5, F125="Low", 10))))</f>
        <v>43672</v>
      </c>
      <c r="X125" t="str">
        <f t="shared" si="1"/>
        <v>Yes</v>
      </c>
    </row>
    <row r="126" spans="1:24" ht="12.75" x14ac:dyDescent="0.2">
      <c r="A126" s="3">
        <v>111252</v>
      </c>
      <c r="B126" s="8">
        <v>43654.663888888892</v>
      </c>
      <c r="C126" s="3" t="s">
        <v>591</v>
      </c>
      <c r="D126" s="3" t="s">
        <v>75</v>
      </c>
      <c r="E126" s="3" t="s">
        <v>76</v>
      </c>
      <c r="F126" s="3" t="s">
        <v>92</v>
      </c>
      <c r="G126" s="3" t="s">
        <v>577</v>
      </c>
      <c r="H126" s="3" t="s">
        <v>30</v>
      </c>
      <c r="I126" s="3" t="s">
        <v>31</v>
      </c>
      <c r="J126" s="3" t="s">
        <v>32</v>
      </c>
      <c r="K126" s="8">
        <v>43664.729861111111</v>
      </c>
      <c r="L126" s="8">
        <v>43655.163888888892</v>
      </c>
      <c r="M126" s="3">
        <v>0</v>
      </c>
      <c r="N126" s="3">
        <v>1</v>
      </c>
      <c r="O126" s="3" t="s">
        <v>58</v>
      </c>
      <c r="P126" s="10" t="s">
        <v>576</v>
      </c>
      <c r="Q126" s="3" t="s">
        <v>77</v>
      </c>
      <c r="R126" s="3">
        <v>14</v>
      </c>
      <c r="S126" s="3">
        <v>2</v>
      </c>
      <c r="T126" s="10" t="s">
        <v>576</v>
      </c>
      <c r="U126" s="10" t="s">
        <v>576</v>
      </c>
      <c r="V126" s="3" t="s">
        <v>37</v>
      </c>
      <c r="W126" s="11" cm="1">
        <f t="array" ref="W126">IF(H126="Request","No SLA for Request", IF(F126="Emergency",B126+(4/24), WORKDAY(B126, _xlfn.IFS(F126="High", 3, F126="Normal", 5, F126="Low", 10))))</f>
        <v>43657</v>
      </c>
      <c r="X126" t="str">
        <f t="shared" si="1"/>
        <v>Yes</v>
      </c>
    </row>
    <row r="127" spans="1:24" ht="12.75" x14ac:dyDescent="0.2">
      <c r="A127" s="3">
        <v>111248</v>
      </c>
      <c r="B127" s="8">
        <v>43650.654166666667</v>
      </c>
      <c r="C127" s="3" t="s">
        <v>291</v>
      </c>
      <c r="D127" s="3" t="s">
        <v>80</v>
      </c>
      <c r="E127" s="3" t="s">
        <v>81</v>
      </c>
      <c r="F127" s="3" t="s">
        <v>92</v>
      </c>
      <c r="G127" s="3" t="s">
        <v>29</v>
      </c>
      <c r="H127" s="3" t="s">
        <v>30</v>
      </c>
      <c r="I127" s="3" t="s">
        <v>31</v>
      </c>
      <c r="J127" s="3" t="s">
        <v>32</v>
      </c>
      <c r="K127" s="8">
        <v>43661.728472222225</v>
      </c>
      <c r="L127" s="8">
        <v>43656.708333333336</v>
      </c>
      <c r="M127" s="3">
        <v>0</v>
      </c>
      <c r="N127" s="3">
        <v>1</v>
      </c>
      <c r="O127" s="3" t="s">
        <v>33</v>
      </c>
      <c r="P127" s="10" t="s">
        <v>576</v>
      </c>
      <c r="Q127" s="3" t="s">
        <v>43</v>
      </c>
      <c r="R127" s="3">
        <v>9</v>
      </c>
      <c r="S127" s="3">
        <v>2</v>
      </c>
      <c r="T127" s="10" t="s">
        <v>576</v>
      </c>
      <c r="U127" s="10" t="s">
        <v>576</v>
      </c>
      <c r="V127" s="3" t="s">
        <v>37</v>
      </c>
      <c r="W127" s="11" cm="1">
        <f t="array" ref="W127">IF(H127="Request","No SLA for Request", IF(F127="Emergency",B127+(4/24), WORKDAY(B127, _xlfn.IFS(F127="High", 3, F127="Normal", 5, F127="Low", 10))))</f>
        <v>43655</v>
      </c>
      <c r="X127" t="str">
        <f t="shared" si="1"/>
        <v>Yes</v>
      </c>
    </row>
    <row r="128" spans="1:24" ht="12.75" x14ac:dyDescent="0.2">
      <c r="A128" s="3">
        <v>111247</v>
      </c>
      <c r="B128" s="8">
        <v>43649.451388888891</v>
      </c>
      <c r="C128" s="3" t="s">
        <v>592</v>
      </c>
      <c r="D128" s="3" t="s">
        <v>26</v>
      </c>
      <c r="E128" s="3" t="s">
        <v>27</v>
      </c>
      <c r="F128" s="3" t="s">
        <v>92</v>
      </c>
      <c r="G128" s="3" t="s">
        <v>29</v>
      </c>
      <c r="H128" s="3" t="s">
        <v>30</v>
      </c>
      <c r="I128" s="3" t="s">
        <v>31</v>
      </c>
      <c r="J128" s="3" t="s">
        <v>32</v>
      </c>
      <c r="K128" s="8">
        <v>43658.731249999997</v>
      </c>
      <c r="L128" s="8">
        <v>43649.951388888891</v>
      </c>
      <c r="M128" s="3">
        <v>0</v>
      </c>
      <c r="N128" s="3">
        <v>1</v>
      </c>
      <c r="O128" s="3" t="s">
        <v>33</v>
      </c>
      <c r="P128" s="10" t="s">
        <v>576</v>
      </c>
      <c r="Q128" s="3" t="s">
        <v>34</v>
      </c>
      <c r="R128" s="3">
        <v>8</v>
      </c>
      <c r="S128" s="3">
        <v>2</v>
      </c>
      <c r="T128" s="10" t="s">
        <v>576</v>
      </c>
      <c r="U128" s="10" t="s">
        <v>576</v>
      </c>
      <c r="V128" s="3" t="s">
        <v>48</v>
      </c>
      <c r="W128" s="11" cm="1">
        <f t="array" ref="W128">IF(H128="Request","No SLA for Request", IF(F128="Emergency",B128+(4/24), WORKDAY(B128, _xlfn.IFS(F128="High", 3, F128="Normal", 5, F128="Low", 10))))</f>
        <v>43654</v>
      </c>
      <c r="X128" t="str">
        <f t="shared" si="1"/>
        <v>Yes</v>
      </c>
    </row>
    <row r="129" spans="1:24" ht="12.75" x14ac:dyDescent="0.2">
      <c r="A129" s="3">
        <v>111203</v>
      </c>
      <c r="B129" s="8">
        <v>43600.595833333333</v>
      </c>
      <c r="C129" s="3" t="s">
        <v>292</v>
      </c>
      <c r="D129" s="3" t="s">
        <v>78</v>
      </c>
      <c r="E129" s="3" t="s">
        <v>79</v>
      </c>
      <c r="F129" s="3" t="s">
        <v>92</v>
      </c>
      <c r="G129" s="3" t="s">
        <v>29</v>
      </c>
      <c r="H129" s="3" t="s">
        <v>30</v>
      </c>
      <c r="I129" s="3" t="s">
        <v>31</v>
      </c>
      <c r="J129" s="3" t="s">
        <v>32</v>
      </c>
      <c r="K129" s="8">
        <v>43656.724999999999</v>
      </c>
      <c r="L129" s="8">
        <v>43601.095833333333</v>
      </c>
      <c r="M129" s="3">
        <v>0</v>
      </c>
      <c r="N129" s="3">
        <v>1</v>
      </c>
      <c r="O129" s="3" t="s">
        <v>33</v>
      </c>
      <c r="P129" s="10" t="s">
        <v>576</v>
      </c>
      <c r="Q129" s="3" t="s">
        <v>43</v>
      </c>
      <c r="R129" s="3">
        <v>9</v>
      </c>
      <c r="S129" s="3">
        <v>2</v>
      </c>
      <c r="T129" s="10" t="s">
        <v>576</v>
      </c>
      <c r="U129" s="10" t="s">
        <v>576</v>
      </c>
      <c r="V129" s="3" t="s">
        <v>37</v>
      </c>
      <c r="W129" s="11" cm="1">
        <f t="array" ref="W129">IF(H129="Request","No SLA for Request", IF(F129="Emergency",B129+(4/24), WORKDAY(B129, _xlfn.IFS(F129="High", 3, F129="Normal", 5, F129="Low", 10))))</f>
        <v>43605</v>
      </c>
      <c r="X129" t="str">
        <f t="shared" si="1"/>
        <v>Yes</v>
      </c>
    </row>
    <row r="130" spans="1:24" ht="12.75" x14ac:dyDescent="0.2">
      <c r="A130" s="3">
        <v>111180</v>
      </c>
      <c r="B130" s="8">
        <v>43572.724999999999</v>
      </c>
      <c r="C130" s="3" t="s">
        <v>293</v>
      </c>
      <c r="D130" s="3" t="s">
        <v>114</v>
      </c>
      <c r="E130" s="3" t="s">
        <v>115</v>
      </c>
      <c r="F130" s="3" t="s">
        <v>92</v>
      </c>
      <c r="G130" s="3" t="s">
        <v>29</v>
      </c>
      <c r="H130" s="3" t="s">
        <v>53</v>
      </c>
      <c r="I130" s="3" t="s">
        <v>31</v>
      </c>
      <c r="J130" s="3" t="s">
        <v>32</v>
      </c>
      <c r="K130" s="8">
        <v>43655.730555555558</v>
      </c>
      <c r="L130" s="8">
        <v>43573.224999999999</v>
      </c>
      <c r="M130" s="3">
        <v>0</v>
      </c>
      <c r="N130" s="3">
        <v>1</v>
      </c>
      <c r="O130" s="3" t="s">
        <v>33</v>
      </c>
      <c r="P130" s="10" t="s">
        <v>576</v>
      </c>
      <c r="Q130" s="3" t="s">
        <v>43</v>
      </c>
      <c r="R130" s="3">
        <v>15</v>
      </c>
      <c r="S130" s="3">
        <v>1</v>
      </c>
      <c r="T130" s="10" t="s">
        <v>576</v>
      </c>
      <c r="U130" s="10" t="s">
        <v>576</v>
      </c>
      <c r="V130" s="3" t="s">
        <v>37</v>
      </c>
      <c r="W130" s="11" t="str" cm="1">
        <f t="array" ref="W130">IF(H130="Request","No SLA for Request", IF(F130="Emergency",B130+(4/24), WORKDAY(B130, _xlfn.IFS(F130="High", 3, F130="Normal", 5, F130="Low", 10))))</f>
        <v>No SLA for Request</v>
      </c>
      <c r="X130" t="str">
        <f t="shared" si="1"/>
        <v>N/A</v>
      </c>
    </row>
    <row r="131" spans="1:24" ht="12.75" x14ac:dyDescent="0.2">
      <c r="A131" s="3">
        <v>111242</v>
      </c>
      <c r="B131" s="8">
        <v>43643.692361111112</v>
      </c>
      <c r="C131" s="3" t="s">
        <v>294</v>
      </c>
      <c r="D131" s="3" t="s">
        <v>110</v>
      </c>
      <c r="E131" s="3" t="s">
        <v>589</v>
      </c>
      <c r="F131" s="3" t="s">
        <v>92</v>
      </c>
      <c r="G131" s="3" t="s">
        <v>577</v>
      </c>
      <c r="H131" s="3" t="s">
        <v>30</v>
      </c>
      <c r="I131" s="3" t="s">
        <v>31</v>
      </c>
      <c r="J131" s="3" t="s">
        <v>51</v>
      </c>
      <c r="K131" s="8">
        <v>43651.423611111109</v>
      </c>
      <c r="L131" s="8">
        <v>43644.192361111112</v>
      </c>
      <c r="M131" s="3">
        <v>1</v>
      </c>
      <c r="N131" s="3">
        <v>0</v>
      </c>
      <c r="O131" s="3" t="s">
        <v>116</v>
      </c>
      <c r="P131" s="10" t="s">
        <v>576</v>
      </c>
      <c r="Q131" s="3" t="s">
        <v>77</v>
      </c>
      <c r="R131" s="3">
        <v>3</v>
      </c>
      <c r="S131" s="3">
        <v>1</v>
      </c>
      <c r="T131" s="10" t="s">
        <v>576</v>
      </c>
      <c r="U131" s="10" t="s">
        <v>576</v>
      </c>
      <c r="V131" s="3" t="s">
        <v>37</v>
      </c>
      <c r="W131" s="11" cm="1">
        <f t="array" ref="W131">IF(H131="Request","No SLA for Request", IF(F131="Emergency",B131+(4/24), WORKDAY(B131, _xlfn.IFS(F131="High", 3, F131="Normal", 5, F131="Low", 10))))</f>
        <v>43648</v>
      </c>
      <c r="X131" t="str">
        <f t="shared" ref="X131:X194" si="2">IF(K131&gt;=W131,"Yes",IF(W131="No SLA for Request","N/A","No"))</f>
        <v>Yes</v>
      </c>
    </row>
    <row r="132" spans="1:24" ht="12.75" x14ac:dyDescent="0.2">
      <c r="A132" s="3">
        <v>111243</v>
      </c>
      <c r="B132" s="8">
        <v>43643.709027777775</v>
      </c>
      <c r="C132" s="3" t="s">
        <v>593</v>
      </c>
      <c r="D132" s="3" t="s">
        <v>110</v>
      </c>
      <c r="E132" s="3" t="s">
        <v>589</v>
      </c>
      <c r="F132" s="3" t="s">
        <v>92</v>
      </c>
      <c r="G132" s="3" t="s">
        <v>577</v>
      </c>
      <c r="H132" s="3" t="s">
        <v>30</v>
      </c>
      <c r="I132" s="3" t="s">
        <v>31</v>
      </c>
      <c r="J132" s="3" t="s">
        <v>51</v>
      </c>
      <c r="K132" s="8">
        <v>43651.423611111109</v>
      </c>
      <c r="L132" s="8">
        <v>43644.209027777775</v>
      </c>
      <c r="M132" s="3">
        <v>1</v>
      </c>
      <c r="N132" s="3">
        <v>0</v>
      </c>
      <c r="O132" s="3" t="s">
        <v>33</v>
      </c>
      <c r="P132" s="10" t="s">
        <v>576</v>
      </c>
      <c r="Q132" s="3" t="s">
        <v>77</v>
      </c>
      <c r="R132" s="3">
        <v>3</v>
      </c>
      <c r="S132" s="3">
        <v>0</v>
      </c>
      <c r="T132" s="10" t="s">
        <v>576</v>
      </c>
      <c r="U132" s="10" t="s">
        <v>576</v>
      </c>
      <c r="V132" s="3" t="s">
        <v>37</v>
      </c>
      <c r="W132" s="11" cm="1">
        <f t="array" ref="W132">IF(H132="Request","No SLA for Request", IF(F132="Emergency",B132+(4/24), WORKDAY(B132, _xlfn.IFS(F132="High", 3, F132="Normal", 5, F132="Low", 10))))</f>
        <v>43648</v>
      </c>
      <c r="X132" t="str">
        <f t="shared" si="2"/>
        <v>Yes</v>
      </c>
    </row>
    <row r="133" spans="1:24" ht="12.75" x14ac:dyDescent="0.2">
      <c r="A133" s="3">
        <v>111240</v>
      </c>
      <c r="B133" s="8">
        <v>43640.558333333334</v>
      </c>
      <c r="C133" s="3" t="s">
        <v>295</v>
      </c>
      <c r="D133" s="3" t="s">
        <v>63</v>
      </c>
      <c r="E133" s="3" t="s">
        <v>64</v>
      </c>
      <c r="F133" s="3" t="s">
        <v>92</v>
      </c>
      <c r="G133" s="3" t="s">
        <v>29</v>
      </c>
      <c r="H133" s="3" t="s">
        <v>30</v>
      </c>
      <c r="I133" s="3" t="s">
        <v>31</v>
      </c>
      <c r="J133" s="3" t="s">
        <v>32</v>
      </c>
      <c r="K133" s="8">
        <v>43647.731249999997</v>
      </c>
      <c r="L133" s="8">
        <v>43641.058333333334</v>
      </c>
      <c r="M133" s="3">
        <v>0</v>
      </c>
      <c r="N133" s="3">
        <v>1</v>
      </c>
      <c r="O133" s="3" t="s">
        <v>33</v>
      </c>
      <c r="P133" s="10" t="s">
        <v>576</v>
      </c>
      <c r="Q133" s="3" t="s">
        <v>72</v>
      </c>
      <c r="R133" s="3">
        <v>6</v>
      </c>
      <c r="S133" s="3">
        <v>1</v>
      </c>
      <c r="T133" s="10" t="s">
        <v>576</v>
      </c>
      <c r="U133" s="10" t="s">
        <v>576</v>
      </c>
      <c r="V133" s="3" t="s">
        <v>48</v>
      </c>
      <c r="W133" s="11" cm="1">
        <f t="array" ref="W133">IF(H133="Request","No SLA for Request", IF(F133="Emergency",B133+(4/24), WORKDAY(B133, _xlfn.IFS(F133="High", 3, F133="Normal", 5, F133="Low", 10))))</f>
        <v>43643</v>
      </c>
      <c r="X133" t="str">
        <f t="shared" si="2"/>
        <v>Yes</v>
      </c>
    </row>
    <row r="134" spans="1:24" ht="12.75" x14ac:dyDescent="0.2">
      <c r="A134" s="3">
        <v>111146</v>
      </c>
      <c r="B134" s="8">
        <v>43543.347916666666</v>
      </c>
      <c r="C134" s="3" t="s">
        <v>234</v>
      </c>
      <c r="D134" s="3" t="s">
        <v>78</v>
      </c>
      <c r="E134" s="3" t="s">
        <v>79</v>
      </c>
      <c r="F134" s="3" t="s">
        <v>92</v>
      </c>
      <c r="G134" s="3" t="s">
        <v>29</v>
      </c>
      <c r="H134" s="3" t="s">
        <v>30</v>
      </c>
      <c r="I134" s="3" t="s">
        <v>31</v>
      </c>
      <c r="J134" s="3" t="s">
        <v>32</v>
      </c>
      <c r="K134" s="8">
        <v>43647.724305555559</v>
      </c>
      <c r="L134" s="8">
        <v>43543.847916666666</v>
      </c>
      <c r="M134" s="3">
        <v>0</v>
      </c>
      <c r="N134" s="3">
        <v>1</v>
      </c>
      <c r="O134" s="3" t="s">
        <v>33</v>
      </c>
      <c r="P134" s="10" t="s">
        <v>576</v>
      </c>
      <c r="Q134" s="3" t="s">
        <v>43</v>
      </c>
      <c r="R134" s="3">
        <v>35</v>
      </c>
      <c r="S134" s="3">
        <v>5</v>
      </c>
      <c r="T134" s="10" t="s">
        <v>576</v>
      </c>
      <c r="U134" s="10" t="s">
        <v>576</v>
      </c>
      <c r="V134" s="3" t="s">
        <v>37</v>
      </c>
      <c r="W134" s="11" cm="1">
        <f t="array" ref="W134">IF(H134="Request","No SLA for Request", IF(F134="Emergency",B134+(4/24), WORKDAY(B134, _xlfn.IFS(F134="High", 3, F134="Normal", 5, F134="Low", 10))))</f>
        <v>43546</v>
      </c>
      <c r="X134" t="str">
        <f t="shared" si="2"/>
        <v>Yes</v>
      </c>
    </row>
    <row r="135" spans="1:24" ht="12.75" x14ac:dyDescent="0.2">
      <c r="A135" s="3">
        <v>111220</v>
      </c>
      <c r="B135" s="8">
        <v>43616.554861111108</v>
      </c>
      <c r="C135" s="3" t="s">
        <v>296</v>
      </c>
      <c r="D135" s="3" t="s">
        <v>117</v>
      </c>
      <c r="E135" s="3" t="s">
        <v>118</v>
      </c>
      <c r="F135" s="3" t="s">
        <v>92</v>
      </c>
      <c r="G135" s="3" t="s">
        <v>29</v>
      </c>
      <c r="H135" s="3" t="s">
        <v>30</v>
      </c>
      <c r="I135" s="3" t="s">
        <v>31</v>
      </c>
      <c r="J135" s="3" t="s">
        <v>32</v>
      </c>
      <c r="K135" s="8">
        <v>43637.755555555559</v>
      </c>
      <c r="L135" s="8">
        <v>43626.708333333336</v>
      </c>
      <c r="M135" s="3">
        <v>0</v>
      </c>
      <c r="N135" s="3">
        <v>1</v>
      </c>
      <c r="O135" s="3" t="s">
        <v>58</v>
      </c>
      <c r="P135" s="10" t="s">
        <v>576</v>
      </c>
      <c r="Q135" s="3" t="s">
        <v>34</v>
      </c>
      <c r="R135" s="3">
        <v>17</v>
      </c>
      <c r="S135" s="3">
        <v>1</v>
      </c>
      <c r="T135" s="10" t="s">
        <v>576</v>
      </c>
      <c r="U135" s="10" t="s">
        <v>576</v>
      </c>
      <c r="V135" s="3" t="s">
        <v>37</v>
      </c>
      <c r="W135" s="11" cm="1">
        <f t="array" ref="W135">IF(H135="Request","No SLA for Request", IF(F135="Emergency",B135+(4/24), WORKDAY(B135, _xlfn.IFS(F135="High", 3, F135="Normal", 5, F135="Low", 10))))</f>
        <v>43621</v>
      </c>
      <c r="X135" t="str">
        <f t="shared" si="2"/>
        <v>Yes</v>
      </c>
    </row>
    <row r="136" spans="1:24" ht="12.75" x14ac:dyDescent="0.2">
      <c r="A136" s="3">
        <v>111224</v>
      </c>
      <c r="B136" s="8">
        <v>43620.456944444442</v>
      </c>
      <c r="C136" s="3" t="s">
        <v>119</v>
      </c>
      <c r="D136" s="3" t="s">
        <v>80</v>
      </c>
      <c r="E136" s="3" t="s">
        <v>81</v>
      </c>
      <c r="F136" s="3" t="s">
        <v>92</v>
      </c>
      <c r="G136" s="3" t="s">
        <v>29</v>
      </c>
      <c r="H136" s="3" t="s">
        <v>30</v>
      </c>
      <c r="I136" s="3" t="s">
        <v>31</v>
      </c>
      <c r="J136" s="3" t="s">
        <v>32</v>
      </c>
      <c r="K136" s="8">
        <v>43637.685416666667</v>
      </c>
      <c r="L136" s="8">
        <v>43626.71875</v>
      </c>
      <c r="M136" s="3">
        <v>0</v>
      </c>
      <c r="N136" s="3">
        <v>1</v>
      </c>
      <c r="O136" s="3" t="s">
        <v>33</v>
      </c>
      <c r="P136" s="10" t="s">
        <v>576</v>
      </c>
      <c r="Q136" s="3" t="s">
        <v>43</v>
      </c>
      <c r="R136" s="3">
        <v>8</v>
      </c>
      <c r="S136" s="3">
        <v>3</v>
      </c>
      <c r="T136" s="10" t="s">
        <v>576</v>
      </c>
      <c r="U136" s="10" t="s">
        <v>576</v>
      </c>
      <c r="V136" s="3" t="s">
        <v>37</v>
      </c>
      <c r="W136" s="11" cm="1">
        <f t="array" ref="W136">IF(H136="Request","No SLA for Request", IF(F136="Emergency",B136+(4/24), WORKDAY(B136, _xlfn.IFS(F136="High", 3, F136="Normal", 5, F136="Low", 10))))</f>
        <v>43623</v>
      </c>
      <c r="X136" t="str">
        <f t="shared" si="2"/>
        <v>Yes</v>
      </c>
    </row>
    <row r="137" spans="1:24" ht="12.75" x14ac:dyDescent="0.2">
      <c r="A137" s="3">
        <v>111216</v>
      </c>
      <c r="B137" s="8">
        <v>43614.672222222223</v>
      </c>
      <c r="C137" s="3" t="s">
        <v>297</v>
      </c>
      <c r="D137" s="3" t="s">
        <v>82</v>
      </c>
      <c r="E137" s="3" t="s">
        <v>83</v>
      </c>
      <c r="F137" s="3" t="s">
        <v>92</v>
      </c>
      <c r="G137" s="3" t="s">
        <v>29</v>
      </c>
      <c r="H137" s="3" t="s">
        <v>30</v>
      </c>
      <c r="I137" s="3" t="s">
        <v>31</v>
      </c>
      <c r="J137" s="3" t="s">
        <v>32</v>
      </c>
      <c r="K137" s="8">
        <v>43637.615972222222</v>
      </c>
      <c r="L137" s="8">
        <v>43636.760416666664</v>
      </c>
      <c r="M137" s="3">
        <v>0</v>
      </c>
      <c r="N137" s="3">
        <v>1</v>
      </c>
      <c r="O137" s="3" t="s">
        <v>33</v>
      </c>
      <c r="P137" s="10" t="s">
        <v>576</v>
      </c>
      <c r="Q137" s="3" t="s">
        <v>43</v>
      </c>
      <c r="R137" s="3">
        <v>14</v>
      </c>
      <c r="S137" s="3">
        <v>3</v>
      </c>
      <c r="T137" s="10" t="s">
        <v>576</v>
      </c>
      <c r="U137" s="10" t="s">
        <v>576</v>
      </c>
      <c r="V137" s="3" t="s">
        <v>37</v>
      </c>
      <c r="W137" s="11" cm="1">
        <f t="array" ref="W137">IF(H137="Request","No SLA for Request", IF(F137="Emergency",B137+(4/24), WORKDAY(B137, _xlfn.IFS(F137="High", 3, F137="Normal", 5, F137="Low", 10))))</f>
        <v>43619</v>
      </c>
      <c r="X137" t="str">
        <f t="shared" si="2"/>
        <v>Yes</v>
      </c>
    </row>
    <row r="138" spans="1:24" ht="12.75" x14ac:dyDescent="0.2">
      <c r="A138" s="3">
        <v>111221</v>
      </c>
      <c r="B138" s="8">
        <v>43619.399305555555</v>
      </c>
      <c r="C138" s="3" t="s">
        <v>594</v>
      </c>
      <c r="D138" s="3" t="s">
        <v>82</v>
      </c>
      <c r="E138" s="3" t="s">
        <v>83</v>
      </c>
      <c r="F138" s="3" t="s">
        <v>92</v>
      </c>
      <c r="G138" s="3" t="s">
        <v>29</v>
      </c>
      <c r="H138" s="3" t="s">
        <v>30</v>
      </c>
      <c r="I138" s="3" t="s">
        <v>31</v>
      </c>
      <c r="J138" s="3" t="s">
        <v>32</v>
      </c>
      <c r="K138" s="8">
        <v>43630.737500000003</v>
      </c>
      <c r="L138" s="8">
        <v>43629.770833333336</v>
      </c>
      <c r="M138" s="3">
        <v>0</v>
      </c>
      <c r="N138" s="3">
        <v>1</v>
      </c>
      <c r="O138" s="3" t="s">
        <v>33</v>
      </c>
      <c r="P138" s="10" t="s">
        <v>576</v>
      </c>
      <c r="Q138" s="3" t="s">
        <v>43</v>
      </c>
      <c r="R138" s="3">
        <v>15</v>
      </c>
      <c r="S138" s="3">
        <v>6</v>
      </c>
      <c r="T138" s="10" t="s">
        <v>576</v>
      </c>
      <c r="U138" s="10" t="s">
        <v>576</v>
      </c>
      <c r="V138" s="3" t="s">
        <v>37</v>
      </c>
      <c r="W138" s="11" cm="1">
        <f t="array" ref="W138">IF(H138="Request","No SLA for Request", IF(F138="Emergency",B138+(4/24), WORKDAY(B138, _xlfn.IFS(F138="High", 3, F138="Normal", 5, F138="Low", 10))))</f>
        <v>43622</v>
      </c>
      <c r="X138" t="str">
        <f t="shared" si="2"/>
        <v>Yes</v>
      </c>
    </row>
    <row r="139" spans="1:24" ht="12.75" x14ac:dyDescent="0.2">
      <c r="A139" s="3">
        <v>111217</v>
      </c>
      <c r="B139" s="8">
        <v>43614.679166666669</v>
      </c>
      <c r="C139" s="3" t="s">
        <v>298</v>
      </c>
      <c r="D139" s="3" t="s">
        <v>82</v>
      </c>
      <c r="E139" s="3" t="s">
        <v>83</v>
      </c>
      <c r="F139" s="3" t="s">
        <v>92</v>
      </c>
      <c r="G139" s="3" t="s">
        <v>29</v>
      </c>
      <c r="H139" s="3" t="s">
        <v>30</v>
      </c>
      <c r="I139" s="3" t="s">
        <v>31</v>
      </c>
      <c r="J139" s="3" t="s">
        <v>32</v>
      </c>
      <c r="K139" s="8">
        <v>43630.584722222222</v>
      </c>
      <c r="L139" s="8">
        <v>43626.708333333336</v>
      </c>
      <c r="M139" s="3">
        <v>0</v>
      </c>
      <c r="N139" s="3">
        <v>1</v>
      </c>
      <c r="O139" s="3" t="s">
        <v>33</v>
      </c>
      <c r="P139" s="10" t="s">
        <v>576</v>
      </c>
      <c r="Q139" s="3" t="s">
        <v>43</v>
      </c>
      <c r="R139" s="3">
        <v>8</v>
      </c>
      <c r="S139" s="3">
        <v>3</v>
      </c>
      <c r="T139" s="10" t="s">
        <v>576</v>
      </c>
      <c r="U139" s="10" t="s">
        <v>576</v>
      </c>
      <c r="V139" s="3" t="s">
        <v>37</v>
      </c>
      <c r="W139" s="11" cm="1">
        <f t="array" ref="W139">IF(H139="Request","No SLA for Request", IF(F139="Emergency",B139+(4/24), WORKDAY(B139, _xlfn.IFS(F139="High", 3, F139="Normal", 5, F139="Low", 10))))</f>
        <v>43619</v>
      </c>
      <c r="X139" t="str">
        <f t="shared" si="2"/>
        <v>Yes</v>
      </c>
    </row>
    <row r="140" spans="1:24" ht="12.75" x14ac:dyDescent="0.2">
      <c r="A140" s="3">
        <v>111193</v>
      </c>
      <c r="B140" s="8">
        <v>43591.39166666667</v>
      </c>
      <c r="C140" s="3" t="s">
        <v>299</v>
      </c>
      <c r="D140" s="3" t="s">
        <v>49</v>
      </c>
      <c r="E140" s="3" t="s">
        <v>50</v>
      </c>
      <c r="F140" s="3" t="s">
        <v>92</v>
      </c>
      <c r="G140" s="3" t="s">
        <v>29</v>
      </c>
      <c r="H140" s="3" t="s">
        <v>30</v>
      </c>
      <c r="I140" s="3" t="s">
        <v>31</v>
      </c>
      <c r="J140" s="3" t="s">
        <v>32</v>
      </c>
      <c r="K140" s="8">
        <v>43623.734027777777</v>
      </c>
      <c r="L140" s="8">
        <v>43591.89166666667</v>
      </c>
      <c r="M140" s="3">
        <v>0</v>
      </c>
      <c r="N140" s="3">
        <v>1</v>
      </c>
      <c r="O140" s="3" t="s">
        <v>33</v>
      </c>
      <c r="P140" s="10" t="s">
        <v>576</v>
      </c>
      <c r="Q140" s="3" t="s">
        <v>34</v>
      </c>
      <c r="R140" s="3">
        <v>11</v>
      </c>
      <c r="S140" s="3">
        <v>4</v>
      </c>
      <c r="T140" s="10" t="s">
        <v>576</v>
      </c>
      <c r="U140" s="10" t="s">
        <v>576</v>
      </c>
      <c r="V140" s="3" t="s">
        <v>48</v>
      </c>
      <c r="W140" s="11" cm="1">
        <f t="array" ref="W140">IF(H140="Request","No SLA for Request", IF(F140="Emergency",B140+(4/24), WORKDAY(B140, _xlfn.IFS(F140="High", 3, F140="Normal", 5, F140="Low", 10))))</f>
        <v>43594</v>
      </c>
      <c r="X140" t="str">
        <f t="shared" si="2"/>
        <v>Yes</v>
      </c>
    </row>
    <row r="141" spans="1:24" ht="12.75" x14ac:dyDescent="0.2">
      <c r="A141" s="3">
        <v>111183</v>
      </c>
      <c r="B141" s="8">
        <v>43577.539583333331</v>
      </c>
      <c r="C141" s="3" t="s">
        <v>300</v>
      </c>
      <c r="D141" s="3" t="s">
        <v>78</v>
      </c>
      <c r="E141" s="3" t="s">
        <v>79</v>
      </c>
      <c r="F141" s="3" t="s">
        <v>92</v>
      </c>
      <c r="G141" s="3" t="s">
        <v>29</v>
      </c>
      <c r="H141" s="3" t="s">
        <v>30</v>
      </c>
      <c r="I141" s="3" t="s">
        <v>31</v>
      </c>
      <c r="J141" s="3" t="s">
        <v>32</v>
      </c>
      <c r="K141" s="8">
        <v>43620.71875</v>
      </c>
      <c r="L141" s="8">
        <v>43578.039583333331</v>
      </c>
      <c r="M141" s="3">
        <v>0</v>
      </c>
      <c r="N141" s="3">
        <v>1</v>
      </c>
      <c r="O141" s="3" t="s">
        <v>33</v>
      </c>
      <c r="P141" s="10" t="s">
        <v>576</v>
      </c>
      <c r="Q141" s="3" t="s">
        <v>43</v>
      </c>
      <c r="R141" s="3">
        <v>61</v>
      </c>
      <c r="S141" s="3">
        <v>11</v>
      </c>
      <c r="T141" s="10" t="s">
        <v>576</v>
      </c>
      <c r="U141" s="10" t="s">
        <v>576</v>
      </c>
      <c r="V141" s="3" t="s">
        <v>48</v>
      </c>
      <c r="W141" s="11" cm="1">
        <f t="array" ref="W141">IF(H141="Request","No SLA for Request", IF(F141="Emergency",B141+(4/24), WORKDAY(B141, _xlfn.IFS(F141="High", 3, F141="Normal", 5, F141="Low", 10))))</f>
        <v>43580</v>
      </c>
      <c r="X141" t="str">
        <f t="shared" si="2"/>
        <v>Yes</v>
      </c>
    </row>
    <row r="142" spans="1:24" ht="12.75" x14ac:dyDescent="0.2">
      <c r="A142" s="3">
        <v>111198</v>
      </c>
      <c r="B142" s="8">
        <v>43595.393750000003</v>
      </c>
      <c r="C142" s="3" t="s">
        <v>301</v>
      </c>
      <c r="D142" s="3" t="s">
        <v>103</v>
      </c>
      <c r="E142" s="3" t="s">
        <v>104</v>
      </c>
      <c r="F142" s="3" t="s">
        <v>92</v>
      </c>
      <c r="G142" s="3" t="s">
        <v>29</v>
      </c>
      <c r="H142" s="3" t="s">
        <v>30</v>
      </c>
      <c r="I142" s="3" t="s">
        <v>31</v>
      </c>
      <c r="J142" s="3" t="s">
        <v>32</v>
      </c>
      <c r="K142" s="8">
        <v>43619.728472222225</v>
      </c>
      <c r="L142" s="8">
        <v>43595.893750000003</v>
      </c>
      <c r="M142" s="3">
        <v>0</v>
      </c>
      <c r="N142" s="3">
        <v>1</v>
      </c>
      <c r="O142" s="3" t="s">
        <v>33</v>
      </c>
      <c r="P142" s="10" t="s">
        <v>576</v>
      </c>
      <c r="Q142" s="3" t="s">
        <v>43</v>
      </c>
      <c r="R142" s="3">
        <v>13</v>
      </c>
      <c r="S142" s="3">
        <v>2</v>
      </c>
      <c r="T142" s="10" t="s">
        <v>576</v>
      </c>
      <c r="U142" s="10" t="s">
        <v>576</v>
      </c>
      <c r="V142" s="3" t="s">
        <v>37</v>
      </c>
      <c r="W142" s="11" cm="1">
        <f t="array" ref="W142">IF(H142="Request","No SLA for Request", IF(F142="Emergency",B142+(4/24), WORKDAY(B142, _xlfn.IFS(F142="High", 3, F142="Normal", 5, F142="Low", 10))))</f>
        <v>43600</v>
      </c>
      <c r="X142" t="str">
        <f t="shared" si="2"/>
        <v>Yes</v>
      </c>
    </row>
    <row r="143" spans="1:24" ht="12.75" x14ac:dyDescent="0.2">
      <c r="A143" s="3">
        <v>111199</v>
      </c>
      <c r="B143" s="8">
        <v>43599.40347222222</v>
      </c>
      <c r="C143" s="3" t="s">
        <v>595</v>
      </c>
      <c r="D143" s="3" t="s">
        <v>73</v>
      </c>
      <c r="E143" s="3" t="s">
        <v>74</v>
      </c>
      <c r="F143" s="3" t="s">
        <v>92</v>
      </c>
      <c r="G143" s="3" t="s">
        <v>29</v>
      </c>
      <c r="H143" s="3" t="s">
        <v>30</v>
      </c>
      <c r="I143" s="3" t="s">
        <v>31</v>
      </c>
      <c r="J143" s="3" t="s">
        <v>32</v>
      </c>
      <c r="K143" s="8">
        <v>43614.707638888889</v>
      </c>
      <c r="L143" s="8">
        <v>43599.90347222222</v>
      </c>
      <c r="M143" s="3">
        <v>0</v>
      </c>
      <c r="N143" s="3">
        <v>1</v>
      </c>
      <c r="O143" s="3" t="s">
        <v>33</v>
      </c>
      <c r="P143" s="10" t="s">
        <v>576</v>
      </c>
      <c r="Q143" s="3" t="s">
        <v>34</v>
      </c>
      <c r="R143" s="3">
        <v>11</v>
      </c>
      <c r="S143" s="3">
        <v>3</v>
      </c>
      <c r="T143" s="10" t="s">
        <v>576</v>
      </c>
      <c r="U143" s="10" t="s">
        <v>576</v>
      </c>
      <c r="V143" s="3" t="s">
        <v>37</v>
      </c>
      <c r="W143" s="11" cm="1">
        <f t="array" ref="W143">IF(H143="Request","No SLA for Request", IF(F143="Emergency",B143+(4/24), WORKDAY(B143, _xlfn.IFS(F143="High", 3, F143="Normal", 5, F143="Low", 10))))</f>
        <v>43602</v>
      </c>
      <c r="X143" t="str">
        <f t="shared" si="2"/>
        <v>Yes</v>
      </c>
    </row>
    <row r="144" spans="1:24" ht="12.75" x14ac:dyDescent="0.2">
      <c r="A144" s="3">
        <v>111194</v>
      </c>
      <c r="B144" s="8">
        <v>43591.700694444444</v>
      </c>
      <c r="C144" s="3" t="s">
        <v>302</v>
      </c>
      <c r="D144" s="3" t="s">
        <v>78</v>
      </c>
      <c r="E144" s="3" t="s">
        <v>79</v>
      </c>
      <c r="F144" s="3" t="s">
        <v>92</v>
      </c>
      <c r="G144" s="3" t="s">
        <v>29</v>
      </c>
      <c r="H144" s="3" t="s">
        <v>30</v>
      </c>
      <c r="I144" s="3" t="s">
        <v>31</v>
      </c>
      <c r="J144" s="3" t="s">
        <v>32</v>
      </c>
      <c r="K144" s="8">
        <v>43599.824305555558</v>
      </c>
      <c r="L144" s="8">
        <v>43592.200694444444</v>
      </c>
      <c r="M144" s="3">
        <v>0</v>
      </c>
      <c r="N144" s="3">
        <v>1</v>
      </c>
      <c r="O144" s="3" t="s">
        <v>33</v>
      </c>
      <c r="P144" s="10" t="s">
        <v>576</v>
      </c>
      <c r="Q144" s="3" t="s">
        <v>43</v>
      </c>
      <c r="R144" s="3">
        <v>26</v>
      </c>
      <c r="S144" s="3">
        <v>5</v>
      </c>
      <c r="T144" s="10" t="s">
        <v>576</v>
      </c>
      <c r="U144" s="10" t="s">
        <v>576</v>
      </c>
      <c r="V144" s="3" t="s">
        <v>37</v>
      </c>
      <c r="W144" s="11" cm="1">
        <f t="array" ref="W144">IF(H144="Request","No SLA for Request", IF(F144="Emergency",B144+(4/24), WORKDAY(B144, _xlfn.IFS(F144="High", 3, F144="Normal", 5, F144="Low", 10))))</f>
        <v>43594</v>
      </c>
      <c r="X144" t="str">
        <f t="shared" si="2"/>
        <v>Yes</v>
      </c>
    </row>
    <row r="145" spans="1:24" ht="12.75" x14ac:dyDescent="0.2">
      <c r="A145" s="3">
        <v>111187</v>
      </c>
      <c r="B145" s="8">
        <v>43584.356249999997</v>
      </c>
      <c r="C145" s="3" t="s">
        <v>231</v>
      </c>
      <c r="D145" s="3" t="s">
        <v>78</v>
      </c>
      <c r="E145" s="3" t="s">
        <v>79</v>
      </c>
      <c r="F145" s="3" t="s">
        <v>92</v>
      </c>
      <c r="G145" s="3" t="s">
        <v>29</v>
      </c>
      <c r="H145" s="3" t="s">
        <v>30</v>
      </c>
      <c r="I145" s="3" t="s">
        <v>31</v>
      </c>
      <c r="J145" s="3" t="s">
        <v>32</v>
      </c>
      <c r="K145" s="8">
        <v>43595.729861111111</v>
      </c>
      <c r="L145" s="8">
        <v>43584.856249999997</v>
      </c>
      <c r="M145" s="3">
        <v>0</v>
      </c>
      <c r="N145" s="3">
        <v>1</v>
      </c>
      <c r="O145" s="3" t="s">
        <v>33</v>
      </c>
      <c r="P145" s="10" t="s">
        <v>576</v>
      </c>
      <c r="Q145" s="3" t="s">
        <v>43</v>
      </c>
      <c r="R145" s="3">
        <v>10</v>
      </c>
      <c r="S145" s="3">
        <v>2</v>
      </c>
      <c r="T145" s="10" t="s">
        <v>576</v>
      </c>
      <c r="U145" s="10" t="s">
        <v>576</v>
      </c>
      <c r="V145" s="3" t="s">
        <v>37</v>
      </c>
      <c r="W145" s="11" cm="1">
        <f t="array" ref="W145">IF(H145="Request","No SLA for Request", IF(F145="Emergency",B145+(4/24), WORKDAY(B145, _xlfn.IFS(F145="High", 3, F145="Normal", 5, F145="Low", 10))))</f>
        <v>43587</v>
      </c>
      <c r="X145" t="str">
        <f t="shared" si="2"/>
        <v>Yes</v>
      </c>
    </row>
    <row r="146" spans="1:24" ht="12.75" x14ac:dyDescent="0.2">
      <c r="A146" s="3">
        <v>111182</v>
      </c>
      <c r="B146" s="8">
        <v>43577.473611111112</v>
      </c>
      <c r="C146" s="3" t="s">
        <v>303</v>
      </c>
      <c r="D146" s="3" t="s">
        <v>117</v>
      </c>
      <c r="E146" s="3" t="s">
        <v>118</v>
      </c>
      <c r="F146" s="3" t="s">
        <v>92</v>
      </c>
      <c r="G146" s="3" t="s">
        <v>29</v>
      </c>
      <c r="H146" s="3" t="s">
        <v>30</v>
      </c>
      <c r="I146" s="3" t="s">
        <v>61</v>
      </c>
      <c r="J146" s="3" t="s">
        <v>32</v>
      </c>
      <c r="K146" s="8">
        <v>43593.720833333333</v>
      </c>
      <c r="L146" s="8">
        <v>43577.973611111112</v>
      </c>
      <c r="M146" s="3">
        <v>0</v>
      </c>
      <c r="N146" s="3">
        <v>1</v>
      </c>
      <c r="O146" s="3" t="s">
        <v>33</v>
      </c>
      <c r="P146" s="10" t="s">
        <v>576</v>
      </c>
      <c r="Q146" s="3" t="s">
        <v>43</v>
      </c>
      <c r="R146" s="3">
        <v>9</v>
      </c>
      <c r="S146" s="3">
        <v>4</v>
      </c>
      <c r="T146" s="10" t="s">
        <v>576</v>
      </c>
      <c r="U146" s="10" t="s">
        <v>576</v>
      </c>
      <c r="V146" s="3" t="s">
        <v>37</v>
      </c>
      <c r="W146" s="11" cm="1">
        <f t="array" ref="W146">IF(H146="Request","No SLA for Request", IF(F146="Emergency",B146+(4/24), WORKDAY(B146, _xlfn.IFS(F146="High", 3, F146="Normal", 5, F146="Low", 10))))</f>
        <v>43580</v>
      </c>
      <c r="X146" t="str">
        <f t="shared" si="2"/>
        <v>Yes</v>
      </c>
    </row>
    <row r="147" spans="1:24" ht="12.75" x14ac:dyDescent="0.2">
      <c r="A147" s="3">
        <v>111185</v>
      </c>
      <c r="B147" s="8">
        <v>43580.487500000003</v>
      </c>
      <c r="C147" s="3" t="s">
        <v>304</v>
      </c>
      <c r="D147" s="3" t="s">
        <v>78</v>
      </c>
      <c r="E147" s="3" t="s">
        <v>79</v>
      </c>
      <c r="F147" s="3" t="s">
        <v>92</v>
      </c>
      <c r="G147" s="3" t="s">
        <v>29</v>
      </c>
      <c r="H147" s="3" t="s">
        <v>30</v>
      </c>
      <c r="I147" s="3" t="s">
        <v>31</v>
      </c>
      <c r="J147" s="3" t="s">
        <v>32</v>
      </c>
      <c r="K147" s="8">
        <v>43591.746527777781</v>
      </c>
      <c r="L147" s="8">
        <v>43580.987500000003</v>
      </c>
      <c r="M147" s="3">
        <v>0</v>
      </c>
      <c r="N147" s="3">
        <v>1</v>
      </c>
      <c r="O147" s="3" t="s">
        <v>33</v>
      </c>
      <c r="P147" s="10" t="s">
        <v>576</v>
      </c>
      <c r="Q147" s="3" t="s">
        <v>43</v>
      </c>
      <c r="R147" s="3">
        <v>11</v>
      </c>
      <c r="S147" s="3">
        <v>5</v>
      </c>
      <c r="T147" s="10" t="s">
        <v>576</v>
      </c>
      <c r="U147" s="10" t="s">
        <v>576</v>
      </c>
      <c r="V147" s="3" t="s">
        <v>48</v>
      </c>
      <c r="W147" s="11" cm="1">
        <f t="array" ref="W147">IF(H147="Request","No SLA for Request", IF(F147="Emergency",B147+(4/24), WORKDAY(B147, _xlfn.IFS(F147="High", 3, F147="Normal", 5, F147="Low", 10))))</f>
        <v>43585</v>
      </c>
      <c r="X147" t="str">
        <f t="shared" si="2"/>
        <v>Yes</v>
      </c>
    </row>
    <row r="148" spans="1:24" ht="12.75" x14ac:dyDescent="0.2">
      <c r="A148" s="3">
        <v>111157</v>
      </c>
      <c r="B148" s="8">
        <v>43552.350694444445</v>
      </c>
      <c r="C148" s="3" t="s">
        <v>596</v>
      </c>
      <c r="D148" s="3" t="s">
        <v>78</v>
      </c>
      <c r="E148" s="3" t="s">
        <v>79</v>
      </c>
      <c r="F148" s="3" t="s">
        <v>92</v>
      </c>
      <c r="G148" s="3" t="s">
        <v>29</v>
      </c>
      <c r="H148" s="3" t="s">
        <v>30</v>
      </c>
      <c r="I148" s="3" t="s">
        <v>31</v>
      </c>
      <c r="J148" s="3" t="s">
        <v>32</v>
      </c>
      <c r="K148" s="8">
        <v>43585.411805555559</v>
      </c>
      <c r="L148" s="8">
        <v>43552.850694444445</v>
      </c>
      <c r="M148" s="3">
        <v>0</v>
      </c>
      <c r="N148" s="3">
        <v>1</v>
      </c>
      <c r="O148" s="3" t="s">
        <v>33</v>
      </c>
      <c r="P148" s="10" t="s">
        <v>576</v>
      </c>
      <c r="Q148" s="3" t="s">
        <v>43</v>
      </c>
      <c r="R148" s="3">
        <v>21</v>
      </c>
      <c r="S148" s="3">
        <v>3</v>
      </c>
      <c r="T148" s="10" t="s">
        <v>576</v>
      </c>
      <c r="U148" s="10" t="s">
        <v>576</v>
      </c>
      <c r="V148" s="3" t="s">
        <v>37</v>
      </c>
      <c r="W148" s="11" cm="1">
        <f t="array" ref="W148">IF(H148="Request","No SLA for Request", IF(F148="Emergency",B148+(4/24), WORKDAY(B148, _xlfn.IFS(F148="High", 3, F148="Normal", 5, F148="Low", 10))))</f>
        <v>43557</v>
      </c>
      <c r="X148" t="str">
        <f t="shared" si="2"/>
        <v>Yes</v>
      </c>
    </row>
    <row r="149" spans="1:24" ht="12.75" x14ac:dyDescent="0.2">
      <c r="A149" s="3">
        <v>111152</v>
      </c>
      <c r="B149" s="8">
        <v>43544.561111111114</v>
      </c>
      <c r="C149" s="3" t="s">
        <v>197</v>
      </c>
      <c r="D149" s="3" t="s">
        <v>78</v>
      </c>
      <c r="E149" s="3" t="s">
        <v>79</v>
      </c>
      <c r="F149" s="3" t="s">
        <v>92</v>
      </c>
      <c r="G149" s="3" t="s">
        <v>29</v>
      </c>
      <c r="H149" s="3" t="s">
        <v>30</v>
      </c>
      <c r="I149" s="3" t="s">
        <v>31</v>
      </c>
      <c r="J149" s="3" t="s">
        <v>32</v>
      </c>
      <c r="K149" s="8">
        <v>43565.761111111111</v>
      </c>
      <c r="L149" s="8">
        <v>43545.061111111114</v>
      </c>
      <c r="M149" s="3">
        <v>0</v>
      </c>
      <c r="N149" s="3">
        <v>1</v>
      </c>
      <c r="O149" s="3" t="s">
        <v>33</v>
      </c>
      <c r="P149" s="10" t="s">
        <v>576</v>
      </c>
      <c r="Q149" s="3" t="s">
        <v>43</v>
      </c>
      <c r="R149" s="3">
        <v>25</v>
      </c>
      <c r="S149" s="3">
        <v>1</v>
      </c>
      <c r="T149" s="10" t="s">
        <v>576</v>
      </c>
      <c r="U149" s="10" t="s">
        <v>576</v>
      </c>
      <c r="V149" s="3" t="s">
        <v>48</v>
      </c>
      <c r="W149" s="11" cm="1">
        <f t="array" ref="W149">IF(H149="Request","No SLA for Request", IF(F149="Emergency",B149+(4/24), WORKDAY(B149, _xlfn.IFS(F149="High", 3, F149="Normal", 5, F149="Low", 10))))</f>
        <v>43549</v>
      </c>
      <c r="X149" t="str">
        <f t="shared" si="2"/>
        <v>Yes</v>
      </c>
    </row>
    <row r="150" spans="1:24" ht="12.75" x14ac:dyDescent="0.2">
      <c r="A150" s="3">
        <v>111151</v>
      </c>
      <c r="B150" s="8">
        <v>43544.55972222222</v>
      </c>
      <c r="C150" s="3" t="s">
        <v>120</v>
      </c>
      <c r="D150" s="3" t="s">
        <v>103</v>
      </c>
      <c r="E150" s="3" t="s">
        <v>104</v>
      </c>
      <c r="F150" s="3" t="s">
        <v>92</v>
      </c>
      <c r="G150" s="3" t="s">
        <v>29</v>
      </c>
      <c r="H150" s="3" t="s">
        <v>30</v>
      </c>
      <c r="I150" s="3" t="s">
        <v>31</v>
      </c>
      <c r="J150" s="3" t="s">
        <v>32</v>
      </c>
      <c r="K150" s="8">
        <v>43565.749305555553</v>
      </c>
      <c r="L150" s="8">
        <v>43545.05972222222</v>
      </c>
      <c r="M150" s="3">
        <v>0</v>
      </c>
      <c r="N150" s="3">
        <v>1</v>
      </c>
      <c r="O150" s="3" t="s">
        <v>33</v>
      </c>
      <c r="P150" s="10" t="s">
        <v>576</v>
      </c>
      <c r="Q150" s="3" t="s">
        <v>43</v>
      </c>
      <c r="R150" s="3">
        <v>33</v>
      </c>
      <c r="S150" s="3">
        <v>9</v>
      </c>
      <c r="T150" s="10" t="s">
        <v>576</v>
      </c>
      <c r="U150" s="10" t="s">
        <v>576</v>
      </c>
      <c r="V150" s="3" t="s">
        <v>37</v>
      </c>
      <c r="W150" s="11" cm="1">
        <f t="array" ref="W150">IF(H150="Request","No SLA for Request", IF(F150="Emergency",B150+(4/24), WORKDAY(B150, _xlfn.IFS(F150="High", 3, F150="Normal", 5, F150="Low", 10))))</f>
        <v>43549</v>
      </c>
      <c r="X150" t="str">
        <f t="shared" si="2"/>
        <v>Yes</v>
      </c>
    </row>
    <row r="151" spans="1:24" ht="12.75" x14ac:dyDescent="0.2">
      <c r="A151" s="3">
        <v>111149</v>
      </c>
      <c r="B151" s="8">
        <v>43544.488888888889</v>
      </c>
      <c r="C151" s="3" t="s">
        <v>305</v>
      </c>
      <c r="D151" s="3" t="s">
        <v>103</v>
      </c>
      <c r="E151" s="3" t="s">
        <v>104</v>
      </c>
      <c r="F151" s="3" t="s">
        <v>92</v>
      </c>
      <c r="G151" s="3" t="s">
        <v>29</v>
      </c>
      <c r="H151" s="3" t="s">
        <v>30</v>
      </c>
      <c r="I151" s="3" t="s">
        <v>31</v>
      </c>
      <c r="J151" s="3" t="s">
        <v>32</v>
      </c>
      <c r="K151" s="8">
        <v>43565.749305555553</v>
      </c>
      <c r="L151" s="8">
        <v>43544.988888888889</v>
      </c>
      <c r="M151" s="3">
        <v>0</v>
      </c>
      <c r="N151" s="3">
        <v>1</v>
      </c>
      <c r="O151" s="3" t="s">
        <v>33</v>
      </c>
      <c r="P151" s="10" t="s">
        <v>576</v>
      </c>
      <c r="Q151" s="3" t="s">
        <v>43</v>
      </c>
      <c r="R151" s="3">
        <v>6</v>
      </c>
      <c r="S151" s="3">
        <v>2</v>
      </c>
      <c r="T151" s="10" t="s">
        <v>576</v>
      </c>
      <c r="U151" s="10" t="s">
        <v>576</v>
      </c>
      <c r="V151" s="3" t="s">
        <v>37</v>
      </c>
      <c r="W151" s="11" cm="1">
        <f t="array" ref="W151">IF(H151="Request","No SLA for Request", IF(F151="Emergency",B151+(4/24), WORKDAY(B151, _xlfn.IFS(F151="High", 3, F151="Normal", 5, F151="Low", 10))))</f>
        <v>43549</v>
      </c>
      <c r="X151" t="str">
        <f t="shared" si="2"/>
        <v>Yes</v>
      </c>
    </row>
    <row r="152" spans="1:24" ht="12.75" x14ac:dyDescent="0.2">
      <c r="A152" s="3">
        <v>111121</v>
      </c>
      <c r="B152" s="8">
        <v>43502.637499999997</v>
      </c>
      <c r="C152" s="3" t="s">
        <v>306</v>
      </c>
      <c r="D152" s="3" t="s">
        <v>117</v>
      </c>
      <c r="E152" s="3" t="s">
        <v>118</v>
      </c>
      <c r="F152" s="3" t="s">
        <v>92</v>
      </c>
      <c r="G152" s="3" t="s">
        <v>29</v>
      </c>
      <c r="H152" s="3" t="s">
        <v>30</v>
      </c>
      <c r="I152" s="3" t="s">
        <v>61</v>
      </c>
      <c r="J152" s="3" t="s">
        <v>32</v>
      </c>
      <c r="K152" s="8">
        <v>43559.728472222225</v>
      </c>
      <c r="L152" s="8">
        <v>44415.137499999997</v>
      </c>
      <c r="M152" s="3">
        <v>0</v>
      </c>
      <c r="N152" s="3">
        <v>1</v>
      </c>
      <c r="O152" s="3" t="s">
        <v>33</v>
      </c>
      <c r="P152" s="10" t="s">
        <v>576</v>
      </c>
      <c r="Q152" s="3" t="s">
        <v>43</v>
      </c>
      <c r="R152" s="3">
        <v>18</v>
      </c>
      <c r="S152" s="3">
        <v>3</v>
      </c>
      <c r="T152" s="10" t="s">
        <v>576</v>
      </c>
      <c r="U152" s="10" t="s">
        <v>576</v>
      </c>
      <c r="V152" s="3" t="s">
        <v>37</v>
      </c>
      <c r="W152" s="11" cm="1">
        <f t="array" ref="W152">IF(H152="Request","No SLA for Request", IF(F152="Emergency",B152+(4/24), WORKDAY(B152, _xlfn.IFS(F152="High", 3, F152="Normal", 5, F152="Low", 10))))</f>
        <v>43507</v>
      </c>
      <c r="X152" t="str">
        <f t="shared" si="2"/>
        <v>Yes</v>
      </c>
    </row>
    <row r="153" spans="1:24" ht="12.75" x14ac:dyDescent="0.2">
      <c r="A153" s="3">
        <v>111162</v>
      </c>
      <c r="B153" s="8">
        <v>43556.472916666666</v>
      </c>
      <c r="C153" s="3" t="s">
        <v>307</v>
      </c>
      <c r="D153" s="3" t="s">
        <v>73</v>
      </c>
      <c r="E153" s="3" t="s">
        <v>74</v>
      </c>
      <c r="F153" s="3" t="s">
        <v>92</v>
      </c>
      <c r="G153" s="3" t="s">
        <v>29</v>
      </c>
      <c r="H153" s="3" t="s">
        <v>30</v>
      </c>
      <c r="I153" s="3" t="s">
        <v>31</v>
      </c>
      <c r="J153" s="3" t="s">
        <v>32</v>
      </c>
      <c r="K153" s="8">
        <v>43558.754861111112</v>
      </c>
      <c r="L153" s="8">
        <v>43556.972916666666</v>
      </c>
      <c r="M153" s="3">
        <v>0</v>
      </c>
      <c r="N153" s="3">
        <v>1</v>
      </c>
      <c r="O153" s="3" t="s">
        <v>33</v>
      </c>
      <c r="P153" s="10" t="s">
        <v>576</v>
      </c>
      <c r="Q153" s="3" t="s">
        <v>34</v>
      </c>
      <c r="R153" s="3">
        <v>11</v>
      </c>
      <c r="S153" s="3">
        <v>2</v>
      </c>
      <c r="T153" s="10" t="s">
        <v>576</v>
      </c>
      <c r="U153" s="10" t="s">
        <v>576</v>
      </c>
      <c r="V153" s="3" t="s">
        <v>37</v>
      </c>
      <c r="W153" s="11" cm="1">
        <f t="array" ref="W153">IF(H153="Request","No SLA for Request", IF(F153="Emergency",B153+(4/24), WORKDAY(B153, _xlfn.IFS(F153="High", 3, F153="Normal", 5, F153="Low", 10))))</f>
        <v>43559</v>
      </c>
      <c r="X153" t="str">
        <f t="shared" si="2"/>
        <v>No</v>
      </c>
    </row>
    <row r="154" spans="1:24" ht="12.75" x14ac:dyDescent="0.2">
      <c r="A154" s="3">
        <v>111158</v>
      </c>
      <c r="B154" s="8">
        <v>43552.432638888888</v>
      </c>
      <c r="C154" s="3" t="s">
        <v>308</v>
      </c>
      <c r="D154" s="3" t="s">
        <v>73</v>
      </c>
      <c r="E154" s="3" t="s">
        <v>74</v>
      </c>
      <c r="F154" s="3" t="s">
        <v>92</v>
      </c>
      <c r="G154" s="3" t="s">
        <v>29</v>
      </c>
      <c r="H154" s="3" t="s">
        <v>30</v>
      </c>
      <c r="I154" s="3" t="s">
        <v>31</v>
      </c>
      <c r="J154" s="3" t="s">
        <v>32</v>
      </c>
      <c r="K154" s="8">
        <v>43556.738888888889</v>
      </c>
      <c r="L154" s="8">
        <v>43552.932638888888</v>
      </c>
      <c r="M154" s="3">
        <v>0</v>
      </c>
      <c r="N154" s="3">
        <v>1</v>
      </c>
      <c r="O154" s="3" t="s">
        <v>33</v>
      </c>
      <c r="P154" s="10" t="s">
        <v>576</v>
      </c>
      <c r="Q154" s="3" t="s">
        <v>34</v>
      </c>
      <c r="R154" s="3">
        <v>12</v>
      </c>
      <c r="S154" s="3">
        <v>1</v>
      </c>
      <c r="T154" s="10" t="s">
        <v>576</v>
      </c>
      <c r="U154" s="10" t="s">
        <v>576</v>
      </c>
      <c r="V154" s="3" t="s">
        <v>37</v>
      </c>
      <c r="W154" s="11" cm="1">
        <f t="array" ref="W154">IF(H154="Request","No SLA for Request", IF(F154="Emergency",B154+(4/24), WORKDAY(B154, _xlfn.IFS(F154="High", 3, F154="Normal", 5, F154="Low", 10))))</f>
        <v>43557</v>
      </c>
      <c r="X154" t="str">
        <f t="shared" si="2"/>
        <v>No</v>
      </c>
    </row>
    <row r="155" spans="1:24" ht="12.75" x14ac:dyDescent="0.2">
      <c r="A155" s="3">
        <v>111143</v>
      </c>
      <c r="B155" s="8">
        <v>43536.647222222222</v>
      </c>
      <c r="C155" s="3" t="s">
        <v>234</v>
      </c>
      <c r="D155" s="3" t="s">
        <v>78</v>
      </c>
      <c r="E155" s="3" t="s">
        <v>79</v>
      </c>
      <c r="F155" s="3" t="s">
        <v>92</v>
      </c>
      <c r="G155" s="3" t="s">
        <v>29</v>
      </c>
      <c r="H155" s="3" t="s">
        <v>30</v>
      </c>
      <c r="I155" s="3" t="s">
        <v>31</v>
      </c>
      <c r="J155" s="3" t="s">
        <v>32</v>
      </c>
      <c r="K155" s="8">
        <v>43552.736111111109</v>
      </c>
      <c r="L155" s="8">
        <v>43537.147222222222</v>
      </c>
      <c r="M155" s="3">
        <v>0</v>
      </c>
      <c r="N155" s="3">
        <v>1</v>
      </c>
      <c r="O155" s="3" t="s">
        <v>33</v>
      </c>
      <c r="P155" s="10" t="s">
        <v>576</v>
      </c>
      <c r="Q155" s="3" t="s">
        <v>43</v>
      </c>
      <c r="R155" s="3">
        <v>7</v>
      </c>
      <c r="S155" s="3">
        <v>2</v>
      </c>
      <c r="T155" s="10" t="s">
        <v>576</v>
      </c>
      <c r="U155" s="10" t="s">
        <v>576</v>
      </c>
      <c r="V155" s="3" t="s">
        <v>37</v>
      </c>
      <c r="W155" s="11" cm="1">
        <f t="array" ref="W155">IF(H155="Request","No SLA for Request", IF(F155="Emergency",B155+(4/24), WORKDAY(B155, _xlfn.IFS(F155="High", 3, F155="Normal", 5, F155="Low", 10))))</f>
        <v>43539</v>
      </c>
      <c r="X155" t="str">
        <f t="shared" si="2"/>
        <v>Yes</v>
      </c>
    </row>
    <row r="156" spans="1:24" ht="12.75" x14ac:dyDescent="0.2">
      <c r="A156" s="3">
        <v>111122</v>
      </c>
      <c r="B156" s="8">
        <v>43502.683333333334</v>
      </c>
      <c r="C156" s="3" t="s">
        <v>309</v>
      </c>
      <c r="D156" s="3" t="s">
        <v>103</v>
      </c>
      <c r="E156" s="3" t="s">
        <v>104</v>
      </c>
      <c r="F156" s="3" t="s">
        <v>92</v>
      </c>
      <c r="G156" s="3" t="s">
        <v>29</v>
      </c>
      <c r="H156" s="3" t="s">
        <v>30</v>
      </c>
      <c r="I156" s="3" t="s">
        <v>31</v>
      </c>
      <c r="J156" s="3" t="s">
        <v>32</v>
      </c>
      <c r="K156" s="8">
        <v>43546.777083333334</v>
      </c>
      <c r="L156" s="12" t="s">
        <v>576</v>
      </c>
      <c r="M156" s="3">
        <v>0</v>
      </c>
      <c r="N156" s="3">
        <v>1</v>
      </c>
      <c r="O156" s="3" t="s">
        <v>33</v>
      </c>
      <c r="P156" s="10" t="s">
        <v>576</v>
      </c>
      <c r="Q156" s="3" t="s">
        <v>43</v>
      </c>
      <c r="R156" s="3">
        <v>116</v>
      </c>
      <c r="S156" s="3">
        <v>37</v>
      </c>
      <c r="T156" s="10" t="s">
        <v>576</v>
      </c>
      <c r="U156" s="10" t="s">
        <v>576</v>
      </c>
      <c r="V156" s="3" t="s">
        <v>37</v>
      </c>
      <c r="W156" s="11" cm="1">
        <f t="array" ref="W156">IF(H156="Request","No SLA for Request", IF(F156="Emergency",B156+(4/24), WORKDAY(B156, _xlfn.IFS(F156="High", 3, F156="Normal", 5, F156="Low", 10))))</f>
        <v>43507</v>
      </c>
      <c r="X156" t="str">
        <f t="shared" si="2"/>
        <v>Yes</v>
      </c>
    </row>
    <row r="157" spans="1:24" ht="12.75" x14ac:dyDescent="0.2">
      <c r="A157" s="3">
        <v>111138</v>
      </c>
      <c r="B157" s="8">
        <v>43523.439583333333</v>
      </c>
      <c r="C157" s="3" t="s">
        <v>597</v>
      </c>
      <c r="D157" s="3" t="s">
        <v>78</v>
      </c>
      <c r="E157" s="3" t="s">
        <v>79</v>
      </c>
      <c r="F157" s="3" t="s">
        <v>92</v>
      </c>
      <c r="G157" s="3" t="s">
        <v>29</v>
      </c>
      <c r="H157" s="3" t="s">
        <v>30</v>
      </c>
      <c r="I157" s="3" t="s">
        <v>31</v>
      </c>
      <c r="J157" s="3" t="s">
        <v>32</v>
      </c>
      <c r="K157" s="8">
        <v>43544.71875</v>
      </c>
      <c r="L157" s="8">
        <v>43523.939583333333</v>
      </c>
      <c r="M157" s="3">
        <v>0</v>
      </c>
      <c r="N157" s="3">
        <v>1</v>
      </c>
      <c r="O157" s="3" t="s">
        <v>33</v>
      </c>
      <c r="P157" s="10" t="s">
        <v>576</v>
      </c>
      <c r="Q157" s="3" t="s">
        <v>43</v>
      </c>
      <c r="R157" s="3">
        <v>9</v>
      </c>
      <c r="S157" s="3">
        <v>1</v>
      </c>
      <c r="T157" s="10" t="s">
        <v>576</v>
      </c>
      <c r="U157" s="10" t="s">
        <v>576</v>
      </c>
      <c r="V157" s="3" t="s">
        <v>37</v>
      </c>
      <c r="W157" s="11" cm="1">
        <f t="array" ref="W157">IF(H157="Request","No SLA for Request", IF(F157="Emergency",B157+(4/24), WORKDAY(B157, _xlfn.IFS(F157="High", 3, F157="Normal", 5, F157="Low", 10))))</f>
        <v>43528</v>
      </c>
      <c r="X157" t="str">
        <f t="shared" si="2"/>
        <v>Yes</v>
      </c>
    </row>
    <row r="158" spans="1:24" ht="12.75" x14ac:dyDescent="0.2">
      <c r="A158" s="3">
        <v>111131</v>
      </c>
      <c r="B158" s="8">
        <v>43515.46875</v>
      </c>
      <c r="C158" s="3" t="s">
        <v>121</v>
      </c>
      <c r="D158" s="3" t="s">
        <v>103</v>
      </c>
      <c r="E158" s="3" t="s">
        <v>104</v>
      </c>
      <c r="F158" s="3" t="s">
        <v>92</v>
      </c>
      <c r="G158" s="3" t="s">
        <v>29</v>
      </c>
      <c r="H158" s="3" t="s">
        <v>30</v>
      </c>
      <c r="I158" s="3" t="s">
        <v>31</v>
      </c>
      <c r="J158" s="3" t="s">
        <v>32</v>
      </c>
      <c r="K158" s="8">
        <v>43542.759027777778</v>
      </c>
      <c r="L158" s="8">
        <v>43515.96875</v>
      </c>
      <c r="M158" s="3">
        <v>0</v>
      </c>
      <c r="N158" s="3">
        <v>1</v>
      </c>
      <c r="O158" s="3" t="s">
        <v>33</v>
      </c>
      <c r="P158" s="10" t="s">
        <v>576</v>
      </c>
      <c r="Q158" s="3" t="s">
        <v>43</v>
      </c>
      <c r="R158" s="3">
        <v>8</v>
      </c>
      <c r="S158" s="3">
        <v>1</v>
      </c>
      <c r="T158" s="10" t="s">
        <v>576</v>
      </c>
      <c r="U158" s="10" t="s">
        <v>576</v>
      </c>
      <c r="V158" s="3" t="s">
        <v>37</v>
      </c>
      <c r="W158" s="11" cm="1">
        <f t="array" ref="W158">IF(H158="Request","No SLA for Request", IF(F158="Emergency",B158+(4/24), WORKDAY(B158, _xlfn.IFS(F158="High", 3, F158="Normal", 5, F158="Low", 10))))</f>
        <v>43518</v>
      </c>
      <c r="X158" t="str">
        <f t="shared" si="2"/>
        <v>Yes</v>
      </c>
    </row>
    <row r="159" spans="1:24" ht="12.75" x14ac:dyDescent="0.2">
      <c r="A159" s="3">
        <v>111116</v>
      </c>
      <c r="B159" s="8">
        <v>43497.499305555553</v>
      </c>
      <c r="C159" s="3" t="s">
        <v>310</v>
      </c>
      <c r="D159" s="3" t="s">
        <v>103</v>
      </c>
      <c r="E159" s="3" t="s">
        <v>104</v>
      </c>
      <c r="F159" s="3" t="s">
        <v>92</v>
      </c>
      <c r="G159" s="3" t="s">
        <v>29</v>
      </c>
      <c r="H159" s="3" t="s">
        <v>30</v>
      </c>
      <c r="I159" s="3" t="s">
        <v>31</v>
      </c>
      <c r="J159" s="3" t="s">
        <v>32</v>
      </c>
      <c r="K159" s="8">
        <v>43529.754861111112</v>
      </c>
      <c r="L159" s="8">
        <v>43497.999305555553</v>
      </c>
      <c r="M159" s="3">
        <v>0</v>
      </c>
      <c r="N159" s="3">
        <v>1</v>
      </c>
      <c r="O159" s="3" t="s">
        <v>33</v>
      </c>
      <c r="P159" s="10" t="s">
        <v>576</v>
      </c>
      <c r="Q159" s="3" t="s">
        <v>43</v>
      </c>
      <c r="R159" s="3">
        <v>8</v>
      </c>
      <c r="S159" s="3">
        <v>4</v>
      </c>
      <c r="T159" s="10" t="s">
        <v>576</v>
      </c>
      <c r="U159" s="10" t="s">
        <v>576</v>
      </c>
      <c r="V159" s="3" t="s">
        <v>37</v>
      </c>
      <c r="W159" s="11" cm="1">
        <f t="array" ref="W159">IF(H159="Request","No SLA for Request", IF(F159="Emergency",B159+(4/24), WORKDAY(B159, _xlfn.IFS(F159="High", 3, F159="Normal", 5, F159="Low", 10))))</f>
        <v>43502</v>
      </c>
      <c r="X159" t="str">
        <f t="shared" si="2"/>
        <v>Yes</v>
      </c>
    </row>
    <row r="160" spans="1:24" ht="12.75" x14ac:dyDescent="0.2">
      <c r="A160" s="3">
        <v>111133</v>
      </c>
      <c r="B160" s="8">
        <v>43515.661111111112</v>
      </c>
      <c r="C160" s="3" t="s">
        <v>311</v>
      </c>
      <c r="D160" s="3" t="s">
        <v>78</v>
      </c>
      <c r="E160" s="3" t="s">
        <v>79</v>
      </c>
      <c r="F160" s="3" t="s">
        <v>92</v>
      </c>
      <c r="G160" s="3" t="s">
        <v>29</v>
      </c>
      <c r="H160" s="3" t="s">
        <v>30</v>
      </c>
      <c r="I160" s="3" t="s">
        <v>31</v>
      </c>
      <c r="J160" s="3" t="s">
        <v>32</v>
      </c>
      <c r="K160" s="8">
        <v>43529.75277777778</v>
      </c>
      <c r="L160" s="8">
        <v>43516.161111111112</v>
      </c>
      <c r="M160" s="3">
        <v>0</v>
      </c>
      <c r="N160" s="3">
        <v>1</v>
      </c>
      <c r="O160" s="3" t="s">
        <v>33</v>
      </c>
      <c r="P160" s="10" t="s">
        <v>576</v>
      </c>
      <c r="Q160" s="3" t="s">
        <v>43</v>
      </c>
      <c r="R160" s="3">
        <v>7</v>
      </c>
      <c r="S160" s="3">
        <v>1</v>
      </c>
      <c r="T160" s="10" t="s">
        <v>576</v>
      </c>
      <c r="U160" s="10" t="s">
        <v>576</v>
      </c>
      <c r="V160" s="3" t="s">
        <v>37</v>
      </c>
      <c r="W160" s="11" cm="1">
        <f t="array" ref="W160">IF(H160="Request","No SLA for Request", IF(F160="Emergency",B160+(4/24), WORKDAY(B160, _xlfn.IFS(F160="High", 3, F160="Normal", 5, F160="Low", 10))))</f>
        <v>43518</v>
      </c>
      <c r="X160" t="str">
        <f t="shared" si="2"/>
        <v>Yes</v>
      </c>
    </row>
    <row r="161" spans="1:24" ht="12.75" x14ac:dyDescent="0.2">
      <c r="A161" s="3">
        <v>111129</v>
      </c>
      <c r="B161" s="8">
        <v>43514.411111111112</v>
      </c>
      <c r="C161" s="3" t="s">
        <v>312</v>
      </c>
      <c r="D161" s="3" t="s">
        <v>26</v>
      </c>
      <c r="E161" s="3" t="s">
        <v>27</v>
      </c>
      <c r="F161" s="3" t="s">
        <v>92</v>
      </c>
      <c r="G161" s="3" t="s">
        <v>29</v>
      </c>
      <c r="H161" s="3" t="s">
        <v>30</v>
      </c>
      <c r="I161" s="3" t="s">
        <v>31</v>
      </c>
      <c r="J161" s="3" t="s">
        <v>32</v>
      </c>
      <c r="K161" s="8">
        <v>43526.400000000001</v>
      </c>
      <c r="L161" s="8">
        <v>43514.911111111112</v>
      </c>
      <c r="M161" s="3">
        <v>0</v>
      </c>
      <c r="N161" s="3">
        <v>1</v>
      </c>
      <c r="O161" s="3" t="s">
        <v>33</v>
      </c>
      <c r="P161" s="10" t="s">
        <v>576</v>
      </c>
      <c r="Q161" s="3" t="s">
        <v>34</v>
      </c>
      <c r="R161" s="3">
        <v>7</v>
      </c>
      <c r="S161" s="3">
        <v>6</v>
      </c>
      <c r="T161" s="10" t="s">
        <v>576</v>
      </c>
      <c r="U161" s="10" t="s">
        <v>576</v>
      </c>
      <c r="V161" s="3" t="s">
        <v>37</v>
      </c>
      <c r="W161" s="11" cm="1">
        <f t="array" ref="W161">IF(H161="Request","No SLA for Request", IF(F161="Emergency",B161+(4/24), WORKDAY(B161, _xlfn.IFS(F161="High", 3, F161="Normal", 5, F161="Low", 10))))</f>
        <v>43517</v>
      </c>
      <c r="X161" t="str">
        <f t="shared" si="2"/>
        <v>Yes</v>
      </c>
    </row>
    <row r="162" spans="1:24" ht="12.75" x14ac:dyDescent="0.2">
      <c r="A162" s="3">
        <v>111123</v>
      </c>
      <c r="B162" s="8">
        <v>43503.432638888888</v>
      </c>
      <c r="C162" s="3" t="s">
        <v>313</v>
      </c>
      <c r="D162" s="3" t="s">
        <v>90</v>
      </c>
      <c r="E162" s="3" t="s">
        <v>91</v>
      </c>
      <c r="F162" s="3" t="s">
        <v>92</v>
      </c>
      <c r="G162" s="3" t="s">
        <v>29</v>
      </c>
      <c r="H162" s="3" t="s">
        <v>30</v>
      </c>
      <c r="I162" s="3" t="s">
        <v>31</v>
      </c>
      <c r="J162" s="3" t="s">
        <v>32</v>
      </c>
      <c r="K162" s="8">
        <v>43516.681250000001</v>
      </c>
      <c r="L162" s="8">
        <v>43503.932638888888</v>
      </c>
      <c r="M162" s="3">
        <v>0</v>
      </c>
      <c r="N162" s="3">
        <v>1</v>
      </c>
      <c r="O162" s="3" t="s">
        <v>84</v>
      </c>
      <c r="P162" s="10" t="s">
        <v>576</v>
      </c>
      <c r="Q162" s="3" t="s">
        <v>43</v>
      </c>
      <c r="R162" s="3">
        <v>6</v>
      </c>
      <c r="S162" s="3">
        <v>1</v>
      </c>
      <c r="T162" s="10" t="s">
        <v>576</v>
      </c>
      <c r="U162" s="10" t="s">
        <v>576</v>
      </c>
      <c r="V162" s="3" t="s">
        <v>37</v>
      </c>
      <c r="W162" s="11" cm="1">
        <f t="array" ref="W162">IF(H162="Request","No SLA for Request", IF(F162="Emergency",B162+(4/24), WORKDAY(B162, _xlfn.IFS(F162="High", 3, F162="Normal", 5, F162="Low", 10))))</f>
        <v>43508</v>
      </c>
      <c r="X162" t="str">
        <f t="shared" si="2"/>
        <v>Yes</v>
      </c>
    </row>
    <row r="163" spans="1:24" ht="12.75" x14ac:dyDescent="0.2">
      <c r="A163" s="3">
        <v>111115</v>
      </c>
      <c r="B163" s="8">
        <v>43497.427083333336</v>
      </c>
      <c r="C163" s="3" t="s">
        <v>122</v>
      </c>
      <c r="D163" s="3" t="s">
        <v>73</v>
      </c>
      <c r="E163" s="3" t="s">
        <v>74</v>
      </c>
      <c r="F163" s="3" t="s">
        <v>92</v>
      </c>
      <c r="G163" s="3" t="s">
        <v>29</v>
      </c>
      <c r="H163" s="3" t="s">
        <v>30</v>
      </c>
      <c r="I163" s="3" t="s">
        <v>31</v>
      </c>
      <c r="J163" s="3" t="s">
        <v>32</v>
      </c>
      <c r="K163" s="8">
        <v>43510.619444444441</v>
      </c>
      <c r="L163" s="8">
        <v>43497.927083333336</v>
      </c>
      <c r="M163" s="3">
        <v>0</v>
      </c>
      <c r="N163" s="3">
        <v>1</v>
      </c>
      <c r="O163" s="3" t="s">
        <v>84</v>
      </c>
      <c r="P163" s="10" t="s">
        <v>576</v>
      </c>
      <c r="Q163" s="3" t="s">
        <v>34</v>
      </c>
      <c r="R163" s="3">
        <v>14</v>
      </c>
      <c r="S163" s="3">
        <v>5</v>
      </c>
      <c r="T163" s="10" t="s">
        <v>576</v>
      </c>
      <c r="U163" s="10" t="s">
        <v>576</v>
      </c>
      <c r="V163" s="3" t="s">
        <v>37</v>
      </c>
      <c r="W163" s="11" cm="1">
        <f t="array" ref="W163">IF(H163="Request","No SLA for Request", IF(F163="Emergency",B163+(4/24), WORKDAY(B163, _xlfn.IFS(F163="High", 3, F163="Normal", 5, F163="Low", 10))))</f>
        <v>43502</v>
      </c>
      <c r="X163" t="str">
        <f t="shared" si="2"/>
        <v>Yes</v>
      </c>
    </row>
    <row r="164" spans="1:24" ht="12.75" x14ac:dyDescent="0.2">
      <c r="A164" s="3">
        <v>111656</v>
      </c>
      <c r="B164" s="8">
        <v>44286.438888888886</v>
      </c>
      <c r="C164" s="3" t="s">
        <v>314</v>
      </c>
      <c r="D164" s="3" t="s">
        <v>70</v>
      </c>
      <c r="E164" s="3" t="s">
        <v>71</v>
      </c>
      <c r="F164" s="3" t="s">
        <v>124</v>
      </c>
      <c r="G164" s="3" t="s">
        <v>29</v>
      </c>
      <c r="H164" s="3" t="s">
        <v>30</v>
      </c>
      <c r="I164" s="3" t="s">
        <v>31</v>
      </c>
      <c r="J164" s="3" t="s">
        <v>51</v>
      </c>
      <c r="K164" s="8">
        <v>44298.385416666664</v>
      </c>
      <c r="L164" s="8">
        <v>45198.938888888886</v>
      </c>
      <c r="M164" s="3">
        <v>0</v>
      </c>
      <c r="N164" s="3">
        <v>0</v>
      </c>
      <c r="O164" s="3" t="s">
        <v>42</v>
      </c>
      <c r="P164" s="10" t="s">
        <v>576</v>
      </c>
      <c r="Q164" s="3" t="s">
        <v>43</v>
      </c>
      <c r="R164" s="3">
        <v>3</v>
      </c>
      <c r="S164" s="3">
        <v>1</v>
      </c>
      <c r="T164" s="3" t="s">
        <v>54</v>
      </c>
      <c r="U164" s="3" t="s">
        <v>55</v>
      </c>
      <c r="V164" s="3" t="s">
        <v>48</v>
      </c>
      <c r="W164" s="11" cm="1">
        <f t="array" ref="W164">IF(H164="Request","No SLA for Request", IF(F164="Emergency",B164+(4/24), WORKDAY(B164, _xlfn.IFS(F164="High", 3, F164="Normal", 5, F164="Low", 10))))</f>
        <v>44293</v>
      </c>
      <c r="X164" t="str">
        <f t="shared" si="2"/>
        <v>Yes</v>
      </c>
    </row>
    <row r="165" spans="1:24" ht="12.75" x14ac:dyDescent="0.2">
      <c r="A165" s="3">
        <v>111624</v>
      </c>
      <c r="B165" s="8">
        <v>44251.354861111111</v>
      </c>
      <c r="C165" s="3" t="s">
        <v>125</v>
      </c>
      <c r="D165" s="3" t="s">
        <v>96</v>
      </c>
      <c r="E165" s="3" t="s">
        <v>97</v>
      </c>
      <c r="F165" s="3" t="s">
        <v>124</v>
      </c>
      <c r="G165" s="3" t="s">
        <v>29</v>
      </c>
      <c r="H165" s="3" t="s">
        <v>30</v>
      </c>
      <c r="I165" s="3" t="s">
        <v>31</v>
      </c>
      <c r="J165" s="3" t="s">
        <v>51</v>
      </c>
      <c r="K165" s="8">
        <v>44294.474999999999</v>
      </c>
      <c r="L165" s="8">
        <v>45163.854861111111</v>
      </c>
      <c r="M165" s="3">
        <v>0</v>
      </c>
      <c r="N165" s="3">
        <v>1</v>
      </c>
      <c r="O165" s="3" t="s">
        <v>42</v>
      </c>
      <c r="P165" s="10" t="s">
        <v>576</v>
      </c>
      <c r="Q165" s="3" t="s">
        <v>43</v>
      </c>
      <c r="R165" s="3">
        <v>17</v>
      </c>
      <c r="S165" s="3">
        <v>4</v>
      </c>
      <c r="T165" s="3" t="s">
        <v>35</v>
      </c>
      <c r="U165" s="3" t="s">
        <v>36</v>
      </c>
      <c r="V165" s="3" t="s">
        <v>37</v>
      </c>
      <c r="W165" s="11" cm="1">
        <f t="array" ref="W165">IF(H165="Request","No SLA for Request", IF(F165="Emergency",B165+(4/24), WORKDAY(B165, _xlfn.IFS(F165="High", 3, F165="Normal", 5, F165="Low", 10))))</f>
        <v>44258</v>
      </c>
      <c r="X165" t="str">
        <f t="shared" si="2"/>
        <v>Yes</v>
      </c>
    </row>
    <row r="166" spans="1:24" ht="12.75" x14ac:dyDescent="0.2">
      <c r="A166" s="3">
        <v>111660</v>
      </c>
      <c r="B166" s="8">
        <v>44294.361111111109</v>
      </c>
      <c r="C166" s="3" t="s">
        <v>315</v>
      </c>
      <c r="D166" s="3" t="s">
        <v>39</v>
      </c>
      <c r="E166" s="3" t="s">
        <v>40</v>
      </c>
      <c r="F166" s="3" t="s">
        <v>124</v>
      </c>
      <c r="G166" s="3" t="s">
        <v>29</v>
      </c>
      <c r="H166" s="3" t="s">
        <v>30</v>
      </c>
      <c r="I166" s="3" t="s">
        <v>31</v>
      </c>
      <c r="J166" s="3" t="s">
        <v>51</v>
      </c>
      <c r="K166" s="8">
        <v>44294.361111111109</v>
      </c>
      <c r="L166" s="8">
        <v>45206.861111111109</v>
      </c>
      <c r="M166" s="3">
        <v>0</v>
      </c>
      <c r="N166" s="3">
        <v>1</v>
      </c>
      <c r="O166" s="3" t="s">
        <v>42</v>
      </c>
      <c r="P166" s="10" t="s">
        <v>576</v>
      </c>
      <c r="Q166" s="3" t="s">
        <v>43</v>
      </c>
      <c r="R166" s="3">
        <v>3</v>
      </c>
      <c r="S166" s="3">
        <v>0</v>
      </c>
      <c r="T166" s="3" t="s">
        <v>54</v>
      </c>
      <c r="U166" s="3" t="s">
        <v>55</v>
      </c>
      <c r="V166" s="3" t="s">
        <v>37</v>
      </c>
      <c r="W166" s="11" cm="1">
        <f t="array" ref="W166">IF(H166="Request","No SLA for Request", IF(F166="Emergency",B166+(4/24), WORKDAY(B166, _xlfn.IFS(F166="High", 3, F166="Normal", 5, F166="Low", 10))))</f>
        <v>44301</v>
      </c>
      <c r="X166" t="str">
        <f t="shared" si="2"/>
        <v>No</v>
      </c>
    </row>
    <row r="167" spans="1:24" ht="12.75" x14ac:dyDescent="0.2">
      <c r="A167" s="3">
        <v>111560</v>
      </c>
      <c r="B167" s="8">
        <v>44154.512499999997</v>
      </c>
      <c r="C167" s="3" t="s">
        <v>316</v>
      </c>
      <c r="D167" s="3" t="s">
        <v>47</v>
      </c>
      <c r="E167" s="3" t="s">
        <v>578</v>
      </c>
      <c r="F167" s="3" t="s">
        <v>124</v>
      </c>
      <c r="G167" s="3" t="s">
        <v>29</v>
      </c>
      <c r="H167" s="3" t="s">
        <v>30</v>
      </c>
      <c r="I167" s="3" t="s">
        <v>31</v>
      </c>
      <c r="J167" s="3" t="s">
        <v>32</v>
      </c>
      <c r="K167" s="8">
        <v>44293.731944444444</v>
      </c>
      <c r="L167" s="8">
        <v>44159.512499999997</v>
      </c>
      <c r="M167" s="3">
        <v>0</v>
      </c>
      <c r="N167" s="3">
        <v>1</v>
      </c>
      <c r="O167" s="3" t="s">
        <v>33</v>
      </c>
      <c r="P167" s="10" t="s">
        <v>576</v>
      </c>
      <c r="Q167" s="3" t="s">
        <v>43</v>
      </c>
      <c r="R167" s="3">
        <v>41</v>
      </c>
      <c r="S167" s="3">
        <v>8</v>
      </c>
      <c r="T167" s="3" t="s">
        <v>35</v>
      </c>
      <c r="U167" s="3" t="s">
        <v>36</v>
      </c>
      <c r="V167" s="3" t="s">
        <v>48</v>
      </c>
      <c r="W167" s="11" cm="1">
        <f t="array" ref="W167">IF(H167="Request","No SLA for Request", IF(F167="Emergency",B167+(4/24), WORKDAY(B167, _xlfn.IFS(F167="High", 3, F167="Normal", 5, F167="Low", 10))))</f>
        <v>44161</v>
      </c>
      <c r="X167" t="str">
        <f t="shared" si="2"/>
        <v>Yes</v>
      </c>
    </row>
    <row r="168" spans="1:24" ht="12.75" x14ac:dyDescent="0.2">
      <c r="A168" s="3">
        <v>111659</v>
      </c>
      <c r="B168" s="8">
        <v>44293.552777777775</v>
      </c>
      <c r="C168" s="3" t="s">
        <v>317</v>
      </c>
      <c r="D168" s="3" t="s">
        <v>70</v>
      </c>
      <c r="E168" s="3" t="s">
        <v>71</v>
      </c>
      <c r="F168" s="3" t="s">
        <v>124</v>
      </c>
      <c r="G168" s="3" t="s">
        <v>29</v>
      </c>
      <c r="H168" s="3" t="s">
        <v>53</v>
      </c>
      <c r="I168" s="3" t="s">
        <v>31</v>
      </c>
      <c r="J168" s="3" t="s">
        <v>51</v>
      </c>
      <c r="K168" s="8">
        <v>44293.695833333331</v>
      </c>
      <c r="L168" s="8">
        <v>45206.052777777775</v>
      </c>
      <c r="M168" s="3">
        <v>0</v>
      </c>
      <c r="N168" s="3">
        <v>1</v>
      </c>
      <c r="O168" s="3" t="s">
        <v>84</v>
      </c>
      <c r="P168" s="10" t="s">
        <v>576</v>
      </c>
      <c r="Q168" s="3" t="s">
        <v>43</v>
      </c>
      <c r="R168" s="3">
        <v>5</v>
      </c>
      <c r="S168" s="3">
        <v>1</v>
      </c>
      <c r="T168" s="3" t="s">
        <v>35</v>
      </c>
      <c r="U168" s="3" t="s">
        <v>36</v>
      </c>
      <c r="V168" s="3" t="s">
        <v>37</v>
      </c>
      <c r="W168" s="11" t="str" cm="1">
        <f t="array" ref="W168">IF(H168="Request","No SLA for Request", IF(F168="Emergency",B168+(4/24), WORKDAY(B168, _xlfn.IFS(F168="High", 3, F168="Normal", 5, F168="Low", 10))))</f>
        <v>No SLA for Request</v>
      </c>
      <c r="X168" t="str">
        <f t="shared" si="2"/>
        <v>N/A</v>
      </c>
    </row>
    <row r="169" spans="1:24" ht="12.75" x14ac:dyDescent="0.2">
      <c r="A169" s="3">
        <v>111657</v>
      </c>
      <c r="B169" s="8">
        <v>44291.681944444441</v>
      </c>
      <c r="C169" s="3" t="s">
        <v>318</v>
      </c>
      <c r="D169" s="3" t="s">
        <v>63</v>
      </c>
      <c r="E169" s="3" t="s">
        <v>64</v>
      </c>
      <c r="F169" s="3" t="s">
        <v>124</v>
      </c>
      <c r="G169" s="3" t="s">
        <v>29</v>
      </c>
      <c r="H169" s="3" t="s">
        <v>53</v>
      </c>
      <c r="I169" s="3" t="s">
        <v>31</v>
      </c>
      <c r="J169" s="3" t="s">
        <v>51</v>
      </c>
      <c r="K169" s="8">
        <v>44293.69027777778</v>
      </c>
      <c r="L169" s="8">
        <v>45204.181944444441</v>
      </c>
      <c r="M169" s="3">
        <v>0</v>
      </c>
      <c r="N169" s="3">
        <v>0</v>
      </c>
      <c r="O169" s="3" t="s">
        <v>84</v>
      </c>
      <c r="P169" s="10" t="s">
        <v>576</v>
      </c>
      <c r="Q169" s="3" t="s">
        <v>34</v>
      </c>
      <c r="R169" s="3">
        <v>4</v>
      </c>
      <c r="S169" s="3">
        <v>1</v>
      </c>
      <c r="T169" s="3" t="s">
        <v>54</v>
      </c>
      <c r="U169" s="3" t="s">
        <v>55</v>
      </c>
      <c r="V169" s="3" t="s">
        <v>37</v>
      </c>
      <c r="W169" s="11" t="str" cm="1">
        <f t="array" ref="W169">IF(H169="Request","No SLA for Request", IF(F169="Emergency",B169+(4/24), WORKDAY(B169, _xlfn.IFS(F169="High", 3, F169="Normal", 5, F169="Low", 10))))</f>
        <v>No SLA for Request</v>
      </c>
      <c r="X169" t="str">
        <f t="shared" si="2"/>
        <v>N/A</v>
      </c>
    </row>
    <row r="170" spans="1:24" ht="12.75" x14ac:dyDescent="0.2">
      <c r="A170" s="3">
        <v>111420</v>
      </c>
      <c r="B170" s="8">
        <v>43956.095833333333</v>
      </c>
      <c r="C170" s="3" t="s">
        <v>259</v>
      </c>
      <c r="D170" s="3" t="s">
        <v>47</v>
      </c>
      <c r="E170" s="3" t="s">
        <v>578</v>
      </c>
      <c r="F170" s="3" t="s">
        <v>124</v>
      </c>
      <c r="G170" s="3" t="s">
        <v>29</v>
      </c>
      <c r="H170" s="3" t="s">
        <v>30</v>
      </c>
      <c r="I170" s="3" t="s">
        <v>31</v>
      </c>
      <c r="J170" s="3" t="s">
        <v>51</v>
      </c>
      <c r="K170" s="8">
        <v>44293.620138888888</v>
      </c>
      <c r="L170" s="8">
        <v>43961.095833333333</v>
      </c>
      <c r="M170" s="3">
        <v>1</v>
      </c>
      <c r="N170" s="3">
        <v>0</v>
      </c>
      <c r="O170" s="3" t="s">
        <v>84</v>
      </c>
      <c r="P170" s="10" t="s">
        <v>576</v>
      </c>
      <c r="Q170" s="3" t="s">
        <v>43</v>
      </c>
      <c r="R170" s="3">
        <v>179</v>
      </c>
      <c r="S170" s="3">
        <v>43</v>
      </c>
      <c r="T170" s="3" t="s">
        <v>35</v>
      </c>
      <c r="U170" s="3" t="s">
        <v>36</v>
      </c>
      <c r="V170" s="3" t="s">
        <v>37</v>
      </c>
      <c r="W170" s="11" cm="1">
        <f t="array" ref="W170">IF(H170="Request","No SLA for Request", IF(F170="Emergency",B170+(4/24), WORKDAY(B170, _xlfn.IFS(F170="High", 3, F170="Normal", 5, F170="Low", 10))))</f>
        <v>43963</v>
      </c>
      <c r="X170" t="str">
        <f t="shared" si="2"/>
        <v>Yes</v>
      </c>
    </row>
    <row r="171" spans="1:24" ht="12.75" x14ac:dyDescent="0.2">
      <c r="A171" s="3">
        <v>111650</v>
      </c>
      <c r="B171" s="8">
        <v>44279.634027777778</v>
      </c>
      <c r="C171" s="3" t="s">
        <v>319</v>
      </c>
      <c r="D171" s="3" t="s">
        <v>70</v>
      </c>
      <c r="E171" s="3" t="s">
        <v>71</v>
      </c>
      <c r="F171" s="3" t="s">
        <v>124</v>
      </c>
      <c r="G171" s="3" t="s">
        <v>29</v>
      </c>
      <c r="H171" s="3" t="s">
        <v>30</v>
      </c>
      <c r="I171" s="3" t="s">
        <v>31</v>
      </c>
      <c r="J171" s="3" t="s">
        <v>41</v>
      </c>
      <c r="K171" s="8">
        <v>44293.589583333334</v>
      </c>
      <c r="L171" s="8">
        <v>45192.134027777778</v>
      </c>
      <c r="M171" s="3">
        <v>0</v>
      </c>
      <c r="N171" s="3">
        <v>1</v>
      </c>
      <c r="O171" s="3" t="s">
        <v>84</v>
      </c>
      <c r="P171" s="10" t="s">
        <v>576</v>
      </c>
      <c r="Q171" s="3" t="s">
        <v>43</v>
      </c>
      <c r="R171" s="3">
        <v>6</v>
      </c>
      <c r="S171" s="3">
        <v>3</v>
      </c>
      <c r="T171" s="3" t="s">
        <v>35</v>
      </c>
      <c r="U171" s="3" t="s">
        <v>36</v>
      </c>
      <c r="V171" s="3" t="s">
        <v>37</v>
      </c>
      <c r="W171" s="11" cm="1">
        <f t="array" ref="W171">IF(H171="Request","No SLA for Request", IF(F171="Emergency",B171+(4/24), WORKDAY(B171, _xlfn.IFS(F171="High", 3, F171="Normal", 5, F171="Low", 10))))</f>
        <v>44286</v>
      </c>
      <c r="X171" t="str">
        <f t="shared" si="2"/>
        <v>Yes</v>
      </c>
    </row>
    <row r="172" spans="1:24" ht="12.75" x14ac:dyDescent="0.2">
      <c r="A172" s="3">
        <v>111643</v>
      </c>
      <c r="B172" s="8">
        <v>44273.595833333333</v>
      </c>
      <c r="C172" s="3" t="s">
        <v>320</v>
      </c>
      <c r="D172" s="3" t="s">
        <v>49</v>
      </c>
      <c r="E172" s="3" t="s">
        <v>50</v>
      </c>
      <c r="F172" s="3" t="s">
        <v>124</v>
      </c>
      <c r="G172" s="3" t="s">
        <v>29</v>
      </c>
      <c r="H172" s="3" t="s">
        <v>53</v>
      </c>
      <c r="I172" s="3" t="s">
        <v>31</v>
      </c>
      <c r="J172" s="3" t="s">
        <v>51</v>
      </c>
      <c r="K172" s="8">
        <v>44293.522916666669</v>
      </c>
      <c r="L172" s="8">
        <v>45186.095833333333</v>
      </c>
      <c r="M172" s="3">
        <v>0</v>
      </c>
      <c r="N172" s="3">
        <v>0</v>
      </c>
      <c r="O172" s="3" t="s">
        <v>84</v>
      </c>
      <c r="P172" s="10" t="s">
        <v>576</v>
      </c>
      <c r="Q172" s="3" t="s">
        <v>34</v>
      </c>
      <c r="R172" s="3">
        <v>7</v>
      </c>
      <c r="S172" s="3">
        <v>0</v>
      </c>
      <c r="T172" s="3" t="s">
        <v>54</v>
      </c>
      <c r="U172" s="3" t="s">
        <v>62</v>
      </c>
      <c r="V172" s="3" t="s">
        <v>37</v>
      </c>
      <c r="W172" s="11" t="str" cm="1">
        <f t="array" ref="W172">IF(H172="Request","No SLA for Request", IF(F172="Emergency",B172+(4/24), WORKDAY(B172, _xlfn.IFS(F172="High", 3, F172="Normal", 5, F172="Low", 10))))</f>
        <v>No SLA for Request</v>
      </c>
      <c r="X172" t="str">
        <f t="shared" si="2"/>
        <v>N/A</v>
      </c>
    </row>
    <row r="173" spans="1:24" ht="12.75" x14ac:dyDescent="0.2">
      <c r="A173" s="3">
        <v>111630</v>
      </c>
      <c r="B173" s="8">
        <v>44260.523611111108</v>
      </c>
      <c r="C173" s="3" t="s">
        <v>321</v>
      </c>
      <c r="D173" s="3" t="s">
        <v>39</v>
      </c>
      <c r="E173" s="3" t="s">
        <v>40</v>
      </c>
      <c r="F173" s="3" t="s">
        <v>124</v>
      </c>
      <c r="G173" s="3" t="s">
        <v>29</v>
      </c>
      <c r="H173" s="3" t="s">
        <v>30</v>
      </c>
      <c r="I173" s="3" t="s">
        <v>31</v>
      </c>
      <c r="J173" s="3" t="s">
        <v>51</v>
      </c>
      <c r="K173" s="8">
        <v>44293.36041666667</v>
      </c>
      <c r="L173" s="8">
        <v>44261.023611111108</v>
      </c>
      <c r="M173" s="3">
        <v>1</v>
      </c>
      <c r="N173" s="3">
        <v>0</v>
      </c>
      <c r="O173" s="3" t="s">
        <v>84</v>
      </c>
      <c r="P173" s="10" t="s">
        <v>576</v>
      </c>
      <c r="Q173" s="3" t="s">
        <v>43</v>
      </c>
      <c r="R173" s="3">
        <v>8</v>
      </c>
      <c r="S173" s="3">
        <v>2</v>
      </c>
      <c r="T173" s="3" t="s">
        <v>35</v>
      </c>
      <c r="U173" s="3" t="s">
        <v>36</v>
      </c>
      <c r="V173" s="3" t="s">
        <v>37</v>
      </c>
      <c r="W173" s="11" cm="1">
        <f t="array" ref="W173">IF(H173="Request","No SLA for Request", IF(F173="Emergency",B173+(4/24), WORKDAY(B173, _xlfn.IFS(F173="High", 3, F173="Normal", 5, F173="Low", 10))))</f>
        <v>44267</v>
      </c>
      <c r="X173" t="str">
        <f t="shared" si="2"/>
        <v>Yes</v>
      </c>
    </row>
    <row r="174" spans="1:24" ht="12.75" x14ac:dyDescent="0.2">
      <c r="A174" s="3">
        <v>111655</v>
      </c>
      <c r="B174" s="8">
        <v>44284.679166666669</v>
      </c>
      <c r="C174" s="3" t="s">
        <v>322</v>
      </c>
      <c r="D174" s="3" t="s">
        <v>63</v>
      </c>
      <c r="E174" s="3" t="s">
        <v>64</v>
      </c>
      <c r="F174" s="3" t="s">
        <v>124</v>
      </c>
      <c r="G174" s="3" t="s">
        <v>29</v>
      </c>
      <c r="H174" s="3" t="s">
        <v>53</v>
      </c>
      <c r="I174" s="3" t="s">
        <v>31</v>
      </c>
      <c r="J174" s="3" t="s">
        <v>51</v>
      </c>
      <c r="K174" s="8">
        <v>44292.688194444447</v>
      </c>
      <c r="L174" s="8">
        <v>45197.179166666669</v>
      </c>
      <c r="M174" s="3">
        <v>0</v>
      </c>
      <c r="N174" s="3">
        <v>1</v>
      </c>
      <c r="O174" s="3" t="s">
        <v>84</v>
      </c>
      <c r="P174" s="10" t="s">
        <v>576</v>
      </c>
      <c r="Q174" s="3" t="s">
        <v>34</v>
      </c>
      <c r="R174" s="3">
        <v>7</v>
      </c>
      <c r="S174" s="3">
        <v>0</v>
      </c>
      <c r="T174" s="3" t="s">
        <v>35</v>
      </c>
      <c r="U174" s="3" t="s">
        <v>36</v>
      </c>
      <c r="V174" s="3" t="s">
        <v>37</v>
      </c>
      <c r="W174" s="11" t="str" cm="1">
        <f t="array" ref="W174">IF(H174="Request","No SLA for Request", IF(F174="Emergency",B174+(4/24), WORKDAY(B174, _xlfn.IFS(F174="High", 3, F174="Normal", 5, F174="Low", 10))))</f>
        <v>No SLA for Request</v>
      </c>
      <c r="X174" t="str">
        <f t="shared" si="2"/>
        <v>N/A</v>
      </c>
    </row>
    <row r="175" spans="1:24" ht="12.75" x14ac:dyDescent="0.2">
      <c r="A175" s="3">
        <v>111658</v>
      </c>
      <c r="B175" s="8">
        <v>44292.644444444442</v>
      </c>
      <c r="C175" s="3" t="s">
        <v>323</v>
      </c>
      <c r="D175" s="3" t="s">
        <v>49</v>
      </c>
      <c r="E175" s="3" t="s">
        <v>50</v>
      </c>
      <c r="F175" s="3" t="s">
        <v>124</v>
      </c>
      <c r="G175" s="3" t="s">
        <v>29</v>
      </c>
      <c r="H175" s="3" t="s">
        <v>30</v>
      </c>
      <c r="I175" s="3" t="s">
        <v>31</v>
      </c>
      <c r="J175" s="3" t="s">
        <v>51</v>
      </c>
      <c r="K175" s="8">
        <v>44292.644444444442</v>
      </c>
      <c r="L175" s="8">
        <v>45205.144444444442</v>
      </c>
      <c r="M175" s="3">
        <v>0</v>
      </c>
      <c r="N175" s="3">
        <v>0</v>
      </c>
      <c r="O175" s="3" t="s">
        <v>84</v>
      </c>
      <c r="P175" s="10" t="s">
        <v>576</v>
      </c>
      <c r="Q175" s="3" t="s">
        <v>34</v>
      </c>
      <c r="R175" s="3">
        <v>2</v>
      </c>
      <c r="S175" s="3">
        <v>0</v>
      </c>
      <c r="T175" s="3" t="s">
        <v>54</v>
      </c>
      <c r="U175" s="3" t="s">
        <v>62</v>
      </c>
      <c r="V175" s="3" t="s">
        <v>37</v>
      </c>
      <c r="W175" s="11" cm="1">
        <f t="array" ref="W175">IF(H175="Request","No SLA for Request", IF(F175="Emergency",B175+(4/24), WORKDAY(B175, _xlfn.IFS(F175="High", 3, F175="Normal", 5, F175="Low", 10))))</f>
        <v>44299</v>
      </c>
      <c r="X175" t="str">
        <f t="shared" si="2"/>
        <v>No</v>
      </c>
    </row>
    <row r="176" spans="1:24" ht="12.75" x14ac:dyDescent="0.2">
      <c r="A176" s="3">
        <v>111639</v>
      </c>
      <c r="B176" s="8">
        <v>44272.565972222219</v>
      </c>
      <c r="C176" s="3" t="s">
        <v>126</v>
      </c>
      <c r="D176" s="3" t="s">
        <v>60</v>
      </c>
      <c r="E176" s="3" t="s">
        <v>581</v>
      </c>
      <c r="F176" s="3" t="s">
        <v>124</v>
      </c>
      <c r="G176" s="3" t="s">
        <v>29</v>
      </c>
      <c r="H176" s="3" t="s">
        <v>30</v>
      </c>
      <c r="I176" s="3" t="s">
        <v>31</v>
      </c>
      <c r="J176" s="3" t="s">
        <v>51</v>
      </c>
      <c r="K176" s="8">
        <v>44292.597916666666</v>
      </c>
      <c r="L176" s="8">
        <v>45185.065972222219</v>
      </c>
      <c r="M176" s="3">
        <v>0</v>
      </c>
      <c r="N176" s="3">
        <v>1</v>
      </c>
      <c r="O176" s="3" t="s">
        <v>84</v>
      </c>
      <c r="P176" s="10" t="s">
        <v>576</v>
      </c>
      <c r="Q176" s="3" t="s">
        <v>43</v>
      </c>
      <c r="R176" s="3">
        <v>8</v>
      </c>
      <c r="S176" s="3">
        <v>4</v>
      </c>
      <c r="T176" s="3" t="s">
        <v>35</v>
      </c>
      <c r="U176" s="3" t="s">
        <v>55</v>
      </c>
      <c r="V176" s="3" t="s">
        <v>37</v>
      </c>
      <c r="W176" s="11" cm="1">
        <f t="array" ref="W176">IF(H176="Request","No SLA for Request", IF(F176="Emergency",B176+(4/24), WORKDAY(B176, _xlfn.IFS(F176="High", 3, F176="Normal", 5, F176="Low", 10))))</f>
        <v>44279</v>
      </c>
      <c r="X176" t="str">
        <f t="shared" si="2"/>
        <v>Yes</v>
      </c>
    </row>
    <row r="177" spans="1:24" ht="12.75" x14ac:dyDescent="0.2">
      <c r="A177" s="3">
        <v>111602</v>
      </c>
      <c r="B177" s="8">
        <v>44224.771527777775</v>
      </c>
      <c r="C177" s="3" t="s">
        <v>324</v>
      </c>
      <c r="D177" s="3" t="s">
        <v>63</v>
      </c>
      <c r="E177" s="3" t="s">
        <v>64</v>
      </c>
      <c r="F177" s="3" t="s">
        <v>124</v>
      </c>
      <c r="G177" s="3" t="s">
        <v>29</v>
      </c>
      <c r="H177" s="3" t="s">
        <v>53</v>
      </c>
      <c r="I177" s="3" t="s">
        <v>31</v>
      </c>
      <c r="J177" s="3" t="s">
        <v>41</v>
      </c>
      <c r="K177" s="8">
        <v>44292.556944444441</v>
      </c>
      <c r="L177" s="8">
        <v>44225.271527777775</v>
      </c>
      <c r="M177" s="3">
        <v>1</v>
      </c>
      <c r="N177" s="3">
        <v>0</v>
      </c>
      <c r="O177" s="3" t="s">
        <v>84</v>
      </c>
      <c r="P177" s="10" t="s">
        <v>576</v>
      </c>
      <c r="Q177" s="3" t="s">
        <v>34</v>
      </c>
      <c r="R177" s="3">
        <v>34</v>
      </c>
      <c r="S177" s="3">
        <v>5</v>
      </c>
      <c r="T177" s="3" t="s">
        <v>35</v>
      </c>
      <c r="U177" s="3" t="s">
        <v>36</v>
      </c>
      <c r="V177" s="3" t="s">
        <v>48</v>
      </c>
      <c r="W177" s="11" t="str" cm="1">
        <f t="array" ref="W177">IF(H177="Request","No SLA for Request", IF(F177="Emergency",B177+(4/24), WORKDAY(B177, _xlfn.IFS(F177="High", 3, F177="Normal", 5, F177="Low", 10))))</f>
        <v>No SLA for Request</v>
      </c>
      <c r="X177" t="str">
        <f t="shared" si="2"/>
        <v>N/A</v>
      </c>
    </row>
    <row r="178" spans="1:24" ht="12.75" x14ac:dyDescent="0.2">
      <c r="A178" s="3">
        <v>111644</v>
      </c>
      <c r="B178" s="8">
        <v>44273.599305555559</v>
      </c>
      <c r="C178" s="3" t="s">
        <v>598</v>
      </c>
      <c r="D178" s="3" t="s">
        <v>49</v>
      </c>
      <c r="E178" s="3" t="s">
        <v>50</v>
      </c>
      <c r="F178" s="3" t="s">
        <v>124</v>
      </c>
      <c r="G178" s="3" t="s">
        <v>29</v>
      </c>
      <c r="H178" s="3" t="s">
        <v>53</v>
      </c>
      <c r="I178" s="3" t="s">
        <v>31</v>
      </c>
      <c r="J178" s="3" t="s">
        <v>51</v>
      </c>
      <c r="K178" s="8">
        <v>44286.448611111111</v>
      </c>
      <c r="L178" s="8">
        <v>45186.099305555559</v>
      </c>
      <c r="M178" s="3">
        <v>0</v>
      </c>
      <c r="N178" s="3">
        <v>1</v>
      </c>
      <c r="O178" s="3" t="s">
        <v>84</v>
      </c>
      <c r="P178" s="10" t="s">
        <v>576</v>
      </c>
      <c r="Q178" s="3" t="s">
        <v>34</v>
      </c>
      <c r="R178" s="3">
        <v>5</v>
      </c>
      <c r="S178" s="3">
        <v>0</v>
      </c>
      <c r="T178" s="3" t="s">
        <v>54</v>
      </c>
      <c r="U178" s="3" t="s">
        <v>62</v>
      </c>
      <c r="V178" s="3" t="s">
        <v>37</v>
      </c>
      <c r="W178" s="11" t="str" cm="1">
        <f t="array" ref="W178">IF(H178="Request","No SLA for Request", IF(F178="Emergency",B178+(4/24), WORKDAY(B178, _xlfn.IFS(F178="High", 3, F178="Normal", 5, F178="Low", 10))))</f>
        <v>No SLA for Request</v>
      </c>
      <c r="X178" t="str">
        <f t="shared" si="2"/>
        <v>N/A</v>
      </c>
    </row>
    <row r="179" spans="1:24" ht="12.75" x14ac:dyDescent="0.2">
      <c r="A179" s="3">
        <v>111642</v>
      </c>
      <c r="B179" s="8">
        <v>44273.594444444447</v>
      </c>
      <c r="C179" s="3" t="s">
        <v>325</v>
      </c>
      <c r="D179" s="3" t="s">
        <v>49</v>
      </c>
      <c r="E179" s="3" t="s">
        <v>50</v>
      </c>
      <c r="F179" s="3" t="s">
        <v>124</v>
      </c>
      <c r="G179" s="3" t="s">
        <v>29</v>
      </c>
      <c r="H179" s="3" t="s">
        <v>53</v>
      </c>
      <c r="I179" s="3" t="s">
        <v>31</v>
      </c>
      <c r="J179" s="3" t="s">
        <v>51</v>
      </c>
      <c r="K179" s="8">
        <v>44285.790277777778</v>
      </c>
      <c r="L179" s="8">
        <v>45186.094444444447</v>
      </c>
      <c r="M179" s="3">
        <v>0</v>
      </c>
      <c r="N179" s="3">
        <v>0</v>
      </c>
      <c r="O179" s="3" t="s">
        <v>84</v>
      </c>
      <c r="P179" s="10" t="s">
        <v>576</v>
      </c>
      <c r="Q179" s="3" t="s">
        <v>34</v>
      </c>
      <c r="R179" s="3">
        <v>3</v>
      </c>
      <c r="S179" s="3">
        <v>1</v>
      </c>
      <c r="T179" s="3" t="s">
        <v>54</v>
      </c>
      <c r="U179" s="3" t="s">
        <v>62</v>
      </c>
      <c r="V179" s="3" t="s">
        <v>37</v>
      </c>
      <c r="W179" s="11" t="str" cm="1">
        <f t="array" ref="W179">IF(H179="Request","No SLA for Request", IF(F179="Emergency",B179+(4/24), WORKDAY(B179, _xlfn.IFS(F179="High", 3, F179="Normal", 5, F179="Low", 10))))</f>
        <v>No SLA for Request</v>
      </c>
      <c r="X179" t="str">
        <f t="shared" si="2"/>
        <v>N/A</v>
      </c>
    </row>
    <row r="180" spans="1:24" ht="12.75" x14ac:dyDescent="0.2">
      <c r="A180" s="3">
        <v>111651</v>
      </c>
      <c r="B180" s="8">
        <v>44279.70416666667</v>
      </c>
      <c r="C180" s="3" t="s">
        <v>326</v>
      </c>
      <c r="D180" s="3" t="s">
        <v>49</v>
      </c>
      <c r="E180" s="3" t="s">
        <v>50</v>
      </c>
      <c r="F180" s="3" t="s">
        <v>124</v>
      </c>
      <c r="G180" s="3" t="s">
        <v>29</v>
      </c>
      <c r="H180" s="3" t="s">
        <v>30</v>
      </c>
      <c r="I180" s="3" t="s">
        <v>68</v>
      </c>
      <c r="J180" s="3" t="s">
        <v>51</v>
      </c>
      <c r="K180" s="8">
        <v>44285.787499999999</v>
      </c>
      <c r="L180" s="8">
        <v>44284.70416666667</v>
      </c>
      <c r="M180" s="3">
        <v>1</v>
      </c>
      <c r="N180" s="3">
        <v>0</v>
      </c>
      <c r="O180" s="3" t="s">
        <v>84</v>
      </c>
      <c r="P180" s="10" t="s">
        <v>576</v>
      </c>
      <c r="Q180" s="3" t="s">
        <v>34</v>
      </c>
      <c r="R180" s="3">
        <v>4</v>
      </c>
      <c r="S180" s="3">
        <v>0</v>
      </c>
      <c r="T180" s="3" t="s">
        <v>35</v>
      </c>
      <c r="U180" s="3" t="s">
        <v>36</v>
      </c>
      <c r="V180" s="3" t="s">
        <v>48</v>
      </c>
      <c r="W180" s="11" cm="1">
        <f t="array" ref="W180">IF(H180="Request","No SLA for Request", IF(F180="Emergency",B180+(4/24), WORKDAY(B180, _xlfn.IFS(F180="High", 3, F180="Normal", 5, F180="Low", 10))))</f>
        <v>44286</v>
      </c>
      <c r="X180" t="str">
        <f t="shared" si="2"/>
        <v>No</v>
      </c>
    </row>
    <row r="181" spans="1:24" ht="12.75" x14ac:dyDescent="0.2">
      <c r="A181" s="3">
        <v>111640</v>
      </c>
      <c r="B181" s="8">
        <v>44272.683333333334</v>
      </c>
      <c r="C181" s="3" t="s">
        <v>599</v>
      </c>
      <c r="D181" s="3" t="s">
        <v>63</v>
      </c>
      <c r="E181" s="3" t="s">
        <v>64</v>
      </c>
      <c r="F181" s="3" t="s">
        <v>124</v>
      </c>
      <c r="G181" s="3" t="s">
        <v>29</v>
      </c>
      <c r="H181" s="3" t="s">
        <v>30</v>
      </c>
      <c r="I181" s="3" t="s">
        <v>31</v>
      </c>
      <c r="J181" s="3" t="s">
        <v>51</v>
      </c>
      <c r="K181" s="8">
        <v>44285.75</v>
      </c>
      <c r="L181" s="8">
        <v>45185.183333333334</v>
      </c>
      <c r="M181" s="3">
        <v>0</v>
      </c>
      <c r="N181" s="3">
        <v>1</v>
      </c>
      <c r="O181" s="3" t="s">
        <v>84</v>
      </c>
      <c r="P181" s="10" t="s">
        <v>576</v>
      </c>
      <c r="Q181" s="3" t="s">
        <v>34</v>
      </c>
      <c r="R181" s="3">
        <v>18</v>
      </c>
      <c r="S181" s="3">
        <v>0</v>
      </c>
      <c r="T181" s="3" t="s">
        <v>35</v>
      </c>
      <c r="U181" s="3" t="s">
        <v>62</v>
      </c>
      <c r="V181" s="3" t="s">
        <v>37</v>
      </c>
      <c r="W181" s="11" cm="1">
        <f t="array" ref="W181">IF(H181="Request","No SLA for Request", IF(F181="Emergency",B181+(4/24), WORKDAY(B181, _xlfn.IFS(F181="High", 3, F181="Normal", 5, F181="Low", 10))))</f>
        <v>44279</v>
      </c>
      <c r="X181" t="str">
        <f t="shared" si="2"/>
        <v>Yes</v>
      </c>
    </row>
    <row r="182" spans="1:24" ht="12.75" x14ac:dyDescent="0.2">
      <c r="A182" s="3">
        <v>111641</v>
      </c>
      <c r="B182" s="8">
        <v>44272.692361111112</v>
      </c>
      <c r="C182" s="3" t="s">
        <v>324</v>
      </c>
      <c r="D182" s="3" t="s">
        <v>63</v>
      </c>
      <c r="E182" s="3" t="s">
        <v>64</v>
      </c>
      <c r="F182" s="3" t="s">
        <v>124</v>
      </c>
      <c r="G182" s="3" t="s">
        <v>29</v>
      </c>
      <c r="H182" s="3" t="s">
        <v>30</v>
      </c>
      <c r="I182" s="3" t="s">
        <v>31</v>
      </c>
      <c r="J182" s="3" t="s">
        <v>41</v>
      </c>
      <c r="K182" s="8">
        <v>44285.746527777781</v>
      </c>
      <c r="L182" s="8">
        <v>45185.192361111112</v>
      </c>
      <c r="M182" s="3">
        <v>0</v>
      </c>
      <c r="N182" s="3">
        <v>0</v>
      </c>
      <c r="O182" s="3" t="s">
        <v>84</v>
      </c>
      <c r="P182" s="10" t="s">
        <v>576</v>
      </c>
      <c r="Q182" s="3" t="s">
        <v>34</v>
      </c>
      <c r="R182" s="3">
        <v>23</v>
      </c>
      <c r="S182" s="3">
        <v>0</v>
      </c>
      <c r="T182" s="3" t="s">
        <v>35</v>
      </c>
      <c r="U182" s="3" t="s">
        <v>36</v>
      </c>
      <c r="V182" s="3" t="s">
        <v>48</v>
      </c>
      <c r="W182" s="11" cm="1">
        <f t="array" ref="W182">IF(H182="Request","No SLA for Request", IF(F182="Emergency",B182+(4/24), WORKDAY(B182, _xlfn.IFS(F182="High", 3, F182="Normal", 5, F182="Low", 10))))</f>
        <v>44279</v>
      </c>
      <c r="X182" t="str">
        <f t="shared" si="2"/>
        <v>Yes</v>
      </c>
    </row>
    <row r="183" spans="1:24" ht="12.75" x14ac:dyDescent="0.2">
      <c r="A183" s="3">
        <v>111617</v>
      </c>
      <c r="B183" s="8">
        <v>44242.704861111109</v>
      </c>
      <c r="C183" s="3" t="s">
        <v>127</v>
      </c>
      <c r="D183" s="3" t="s">
        <v>49</v>
      </c>
      <c r="E183" s="3" t="s">
        <v>50</v>
      </c>
      <c r="F183" s="3" t="s">
        <v>124</v>
      </c>
      <c r="G183" s="3" t="s">
        <v>29</v>
      </c>
      <c r="H183" s="3" t="s">
        <v>30</v>
      </c>
      <c r="I183" s="3" t="s">
        <v>31</v>
      </c>
      <c r="J183" s="3" t="s">
        <v>32</v>
      </c>
      <c r="K183" s="8">
        <v>44285.710416666669</v>
      </c>
      <c r="L183" s="8">
        <v>44243.204861111109</v>
      </c>
      <c r="M183" s="3">
        <v>0</v>
      </c>
      <c r="N183" s="3">
        <v>1</v>
      </c>
      <c r="O183" s="3" t="s">
        <v>33</v>
      </c>
      <c r="P183" s="10" t="s">
        <v>576</v>
      </c>
      <c r="Q183" s="3" t="s">
        <v>34</v>
      </c>
      <c r="R183" s="3">
        <v>22</v>
      </c>
      <c r="S183" s="3">
        <v>4</v>
      </c>
      <c r="T183" s="3" t="s">
        <v>35</v>
      </c>
      <c r="U183" s="3" t="s">
        <v>36</v>
      </c>
      <c r="V183" s="3" t="s">
        <v>48</v>
      </c>
      <c r="W183" s="11" cm="1">
        <f t="array" ref="W183">IF(H183="Request","No SLA for Request", IF(F183="Emergency",B183+(4/24), WORKDAY(B183, _xlfn.IFS(F183="High", 3, F183="Normal", 5, F183="Low", 10))))</f>
        <v>44249</v>
      </c>
      <c r="X183" t="str">
        <f t="shared" si="2"/>
        <v>Yes</v>
      </c>
    </row>
    <row r="184" spans="1:24" ht="12.75" x14ac:dyDescent="0.2">
      <c r="A184" s="3">
        <v>111556</v>
      </c>
      <c r="B184" s="8">
        <v>44151.670138888891</v>
      </c>
      <c r="C184" s="3" t="s">
        <v>128</v>
      </c>
      <c r="D184" s="3" t="s">
        <v>90</v>
      </c>
      <c r="E184" s="3" t="s">
        <v>91</v>
      </c>
      <c r="F184" s="3" t="s">
        <v>124</v>
      </c>
      <c r="G184" s="3" t="s">
        <v>29</v>
      </c>
      <c r="H184" s="3" t="s">
        <v>30</v>
      </c>
      <c r="I184" s="3" t="s">
        <v>31</v>
      </c>
      <c r="J184" s="3" t="s">
        <v>51</v>
      </c>
      <c r="K184" s="8">
        <v>44285.6875</v>
      </c>
      <c r="L184" s="8">
        <v>44152.170138888891</v>
      </c>
      <c r="M184" s="3">
        <v>1</v>
      </c>
      <c r="N184" s="3">
        <v>1</v>
      </c>
      <c r="O184" s="3" t="s">
        <v>85</v>
      </c>
      <c r="P184" s="10" t="s">
        <v>576</v>
      </c>
      <c r="Q184" s="3" t="s">
        <v>43</v>
      </c>
      <c r="R184" s="3">
        <v>42</v>
      </c>
      <c r="S184" s="3">
        <v>0</v>
      </c>
      <c r="T184" s="3" t="s">
        <v>35</v>
      </c>
      <c r="U184" s="3" t="s">
        <v>36</v>
      </c>
      <c r="V184" s="3" t="s">
        <v>37</v>
      </c>
      <c r="W184" s="11" cm="1">
        <f t="array" ref="W184">IF(H184="Request","No SLA for Request", IF(F184="Emergency",B184+(4/24), WORKDAY(B184, _xlfn.IFS(F184="High", 3, F184="Normal", 5, F184="Low", 10))))</f>
        <v>44158</v>
      </c>
      <c r="X184" t="str">
        <f t="shared" si="2"/>
        <v>Yes</v>
      </c>
    </row>
    <row r="185" spans="1:24" ht="12.75" x14ac:dyDescent="0.2">
      <c r="A185" s="3">
        <v>111654</v>
      </c>
      <c r="B185" s="8">
        <v>44281.432638888888</v>
      </c>
      <c r="C185" s="3" t="s">
        <v>327</v>
      </c>
      <c r="D185" s="3" t="s">
        <v>39</v>
      </c>
      <c r="E185" s="3" t="s">
        <v>40</v>
      </c>
      <c r="F185" s="3" t="s">
        <v>124</v>
      </c>
      <c r="G185" s="3" t="s">
        <v>29</v>
      </c>
      <c r="H185" s="3" t="s">
        <v>30</v>
      </c>
      <c r="I185" s="3" t="s">
        <v>31</v>
      </c>
      <c r="J185" s="3" t="s">
        <v>51</v>
      </c>
      <c r="K185" s="8">
        <v>44285.606249999997</v>
      </c>
      <c r="L185" s="8">
        <v>45193.932638888888</v>
      </c>
      <c r="M185" s="3">
        <v>0</v>
      </c>
      <c r="N185" s="3">
        <v>0</v>
      </c>
      <c r="O185" s="3" t="s">
        <v>85</v>
      </c>
      <c r="P185" s="10" t="s">
        <v>576</v>
      </c>
      <c r="Q185" s="3" t="s">
        <v>43</v>
      </c>
      <c r="R185" s="3">
        <v>17</v>
      </c>
      <c r="S185" s="3">
        <v>0</v>
      </c>
      <c r="T185" s="3" t="s">
        <v>54</v>
      </c>
      <c r="U185" s="3" t="s">
        <v>55</v>
      </c>
      <c r="V185" s="3" t="s">
        <v>37</v>
      </c>
      <c r="W185" s="11" cm="1">
        <f t="array" ref="W185">IF(H185="Request","No SLA for Request", IF(F185="Emergency",B185+(4/24), WORKDAY(B185, _xlfn.IFS(F185="High", 3, F185="Normal", 5, F185="Low", 10))))</f>
        <v>44288</v>
      </c>
      <c r="X185" t="str">
        <f t="shared" si="2"/>
        <v>No</v>
      </c>
    </row>
    <row r="186" spans="1:24" ht="12.75" x14ac:dyDescent="0.2">
      <c r="A186" s="3">
        <v>111622</v>
      </c>
      <c r="B186" s="8">
        <v>44249.636111111111</v>
      </c>
      <c r="C186" s="3" t="s">
        <v>600</v>
      </c>
      <c r="D186" s="3" t="s">
        <v>52</v>
      </c>
      <c r="E186" s="3" t="s">
        <v>580</v>
      </c>
      <c r="F186" s="3" t="s">
        <v>124</v>
      </c>
      <c r="G186" s="3" t="s">
        <v>29</v>
      </c>
      <c r="H186" s="3" t="s">
        <v>30</v>
      </c>
      <c r="I186" s="3" t="s">
        <v>31</v>
      </c>
      <c r="J186" s="3" t="s">
        <v>41</v>
      </c>
      <c r="K186" s="8">
        <v>44284.584027777775</v>
      </c>
      <c r="L186" s="8">
        <v>44250.136111111111</v>
      </c>
      <c r="M186" s="3">
        <v>1</v>
      </c>
      <c r="N186" s="3">
        <v>0</v>
      </c>
      <c r="O186" s="3" t="s">
        <v>85</v>
      </c>
      <c r="P186" s="10" t="s">
        <v>576</v>
      </c>
      <c r="Q186" s="3" t="s">
        <v>43</v>
      </c>
      <c r="R186" s="3">
        <v>13</v>
      </c>
      <c r="S186" s="3">
        <v>1</v>
      </c>
      <c r="T186" s="3" t="s">
        <v>54</v>
      </c>
      <c r="U186" s="3" t="s">
        <v>55</v>
      </c>
      <c r="V186" s="3" t="s">
        <v>37</v>
      </c>
      <c r="W186" s="11" cm="1">
        <f t="array" ref="W186">IF(H186="Request","No SLA for Request", IF(F186="Emergency",B186+(4/24), WORKDAY(B186, _xlfn.IFS(F186="High", 3, F186="Normal", 5, F186="Low", 10))))</f>
        <v>44256</v>
      </c>
      <c r="X186" t="str">
        <f t="shared" si="2"/>
        <v>Yes</v>
      </c>
    </row>
    <row r="187" spans="1:24" ht="12.75" x14ac:dyDescent="0.2">
      <c r="A187" s="3">
        <v>111583</v>
      </c>
      <c r="B187" s="8">
        <v>44187.44027777778</v>
      </c>
      <c r="C187" s="3" t="s">
        <v>328</v>
      </c>
      <c r="D187" s="3" t="s">
        <v>70</v>
      </c>
      <c r="E187" s="3" t="s">
        <v>71</v>
      </c>
      <c r="F187" s="3" t="s">
        <v>124</v>
      </c>
      <c r="G187" s="3" t="s">
        <v>29</v>
      </c>
      <c r="H187" s="3" t="s">
        <v>30</v>
      </c>
      <c r="I187" s="3" t="s">
        <v>31</v>
      </c>
      <c r="J187" s="3" t="s">
        <v>32</v>
      </c>
      <c r="K187" s="8">
        <v>44284.565972222219</v>
      </c>
      <c r="L187" s="8">
        <v>44192.44027777778</v>
      </c>
      <c r="M187" s="3">
        <v>0</v>
      </c>
      <c r="N187" s="3">
        <v>1</v>
      </c>
      <c r="O187" s="3" t="s">
        <v>33</v>
      </c>
      <c r="P187" s="10" t="s">
        <v>576</v>
      </c>
      <c r="Q187" s="3" t="s">
        <v>43</v>
      </c>
      <c r="R187" s="3">
        <v>27</v>
      </c>
      <c r="S187" s="3">
        <v>11</v>
      </c>
      <c r="T187" s="3" t="s">
        <v>35</v>
      </c>
      <c r="U187" s="3" t="s">
        <v>36</v>
      </c>
      <c r="V187" s="3" t="s">
        <v>48</v>
      </c>
      <c r="W187" s="11" cm="1">
        <f t="array" ref="W187">IF(H187="Request","No SLA for Request", IF(F187="Emergency",B187+(4/24), WORKDAY(B187, _xlfn.IFS(F187="High", 3, F187="Normal", 5, F187="Low", 10))))</f>
        <v>44194</v>
      </c>
      <c r="X187" t="str">
        <f t="shared" si="2"/>
        <v>Yes</v>
      </c>
    </row>
    <row r="188" spans="1:24" ht="12.75" x14ac:dyDescent="0.2">
      <c r="A188" s="3">
        <v>111634</v>
      </c>
      <c r="B188" s="8">
        <v>44266.447222222225</v>
      </c>
      <c r="C188" s="3" t="s">
        <v>329</v>
      </c>
      <c r="D188" s="3" t="s">
        <v>39</v>
      </c>
      <c r="E188" s="3" t="s">
        <v>40</v>
      </c>
      <c r="F188" s="3" t="s">
        <v>124</v>
      </c>
      <c r="G188" s="3" t="s">
        <v>29</v>
      </c>
      <c r="H188" s="3" t="s">
        <v>30</v>
      </c>
      <c r="I188" s="3" t="s">
        <v>129</v>
      </c>
      <c r="J188" s="3" t="s">
        <v>41</v>
      </c>
      <c r="K188" s="8">
        <v>44284.552777777775</v>
      </c>
      <c r="L188" s="8">
        <v>45178.947222222225</v>
      </c>
      <c r="M188" s="3">
        <v>0</v>
      </c>
      <c r="N188" s="3">
        <v>1</v>
      </c>
      <c r="O188" s="3" t="s">
        <v>85</v>
      </c>
      <c r="P188" s="10" t="s">
        <v>576</v>
      </c>
      <c r="Q188" s="3" t="s">
        <v>43</v>
      </c>
      <c r="R188" s="3">
        <v>6</v>
      </c>
      <c r="S188" s="3">
        <v>0</v>
      </c>
      <c r="T188" s="3" t="s">
        <v>54</v>
      </c>
      <c r="U188" s="3" t="s">
        <v>55</v>
      </c>
      <c r="V188" s="3" t="s">
        <v>37</v>
      </c>
      <c r="W188" s="11" cm="1">
        <f t="array" ref="W188">IF(H188="Request","No SLA for Request", IF(F188="Emergency",B188+(4/24), WORKDAY(B188, _xlfn.IFS(F188="High", 3, F188="Normal", 5, F188="Low", 10))))</f>
        <v>44273</v>
      </c>
      <c r="X188" t="str">
        <f t="shared" si="2"/>
        <v>Yes</v>
      </c>
    </row>
    <row r="189" spans="1:24" ht="12.75" x14ac:dyDescent="0.2">
      <c r="A189" s="3">
        <v>111457</v>
      </c>
      <c r="B189" s="8">
        <v>44019.560416666667</v>
      </c>
      <c r="C189" s="3" t="s">
        <v>330</v>
      </c>
      <c r="D189" s="3" t="s">
        <v>90</v>
      </c>
      <c r="E189" s="3" t="s">
        <v>91</v>
      </c>
      <c r="F189" s="3" t="s">
        <v>124</v>
      </c>
      <c r="G189" s="3" t="s">
        <v>29</v>
      </c>
      <c r="H189" s="3" t="s">
        <v>30</v>
      </c>
      <c r="I189" s="3" t="s">
        <v>31</v>
      </c>
      <c r="J189" s="3" t="s">
        <v>51</v>
      </c>
      <c r="K189" s="8">
        <v>44284.475694444445</v>
      </c>
      <c r="L189" s="8">
        <v>44020.060416666667</v>
      </c>
      <c r="M189" s="3">
        <v>1</v>
      </c>
      <c r="N189" s="3">
        <v>1</v>
      </c>
      <c r="O189" s="3" t="s">
        <v>85</v>
      </c>
      <c r="P189" s="10" t="s">
        <v>576</v>
      </c>
      <c r="Q189" s="3" t="s">
        <v>43</v>
      </c>
      <c r="R189" s="3">
        <v>33</v>
      </c>
      <c r="S189" s="3">
        <v>3</v>
      </c>
      <c r="T189" s="3" t="s">
        <v>35</v>
      </c>
      <c r="U189" s="3" t="s">
        <v>36</v>
      </c>
      <c r="V189" s="3" t="s">
        <v>37</v>
      </c>
      <c r="W189" s="11" cm="1">
        <f t="array" ref="W189">IF(H189="Request","No SLA for Request", IF(F189="Emergency",B189+(4/24), WORKDAY(B189, _xlfn.IFS(F189="High", 3, F189="Normal", 5, F189="Low", 10))))</f>
        <v>44026</v>
      </c>
      <c r="X189" t="str">
        <f t="shared" si="2"/>
        <v>Yes</v>
      </c>
    </row>
    <row r="190" spans="1:24" ht="12.75" x14ac:dyDescent="0.2">
      <c r="A190" s="3">
        <v>111653</v>
      </c>
      <c r="B190" s="8">
        <v>44280.79583333333</v>
      </c>
      <c r="C190" s="3" t="s">
        <v>601</v>
      </c>
      <c r="D190" s="3" t="s">
        <v>63</v>
      </c>
      <c r="E190" s="3" t="s">
        <v>64</v>
      </c>
      <c r="F190" s="3" t="s">
        <v>124</v>
      </c>
      <c r="G190" s="3" t="s">
        <v>29</v>
      </c>
      <c r="H190" s="3" t="s">
        <v>30</v>
      </c>
      <c r="I190" s="3" t="s">
        <v>31</v>
      </c>
      <c r="J190" s="3" t="s">
        <v>51</v>
      </c>
      <c r="K190" s="8">
        <v>44281.692361111112</v>
      </c>
      <c r="L190" s="8">
        <v>45193.29583333333</v>
      </c>
      <c r="M190" s="3">
        <v>0</v>
      </c>
      <c r="N190" s="3">
        <v>1</v>
      </c>
      <c r="O190" s="3" t="s">
        <v>85</v>
      </c>
      <c r="P190" s="10" t="s">
        <v>576</v>
      </c>
      <c r="Q190" s="3" t="s">
        <v>34</v>
      </c>
      <c r="R190" s="3">
        <v>5</v>
      </c>
      <c r="S190" s="3">
        <v>0</v>
      </c>
      <c r="T190" s="3" t="s">
        <v>35</v>
      </c>
      <c r="U190" s="3" t="s">
        <v>36</v>
      </c>
      <c r="V190" s="3" t="s">
        <v>48</v>
      </c>
      <c r="W190" s="11" cm="1">
        <f t="array" ref="W190">IF(H190="Request","No SLA for Request", IF(F190="Emergency",B190+(4/24), WORKDAY(B190, _xlfn.IFS(F190="High", 3, F190="Normal", 5, F190="Low", 10))))</f>
        <v>44287</v>
      </c>
      <c r="X190" t="str">
        <f t="shared" si="2"/>
        <v>No</v>
      </c>
    </row>
    <row r="191" spans="1:24" ht="12.75" x14ac:dyDescent="0.2">
      <c r="A191" s="3">
        <v>111652</v>
      </c>
      <c r="B191" s="8">
        <v>44279.745833333334</v>
      </c>
      <c r="C191" s="3" t="s">
        <v>130</v>
      </c>
      <c r="D191" s="3" t="s">
        <v>73</v>
      </c>
      <c r="E191" s="3" t="s">
        <v>74</v>
      </c>
      <c r="F191" s="3" t="s">
        <v>124</v>
      </c>
      <c r="G191" s="3" t="s">
        <v>29</v>
      </c>
      <c r="H191" s="3" t="s">
        <v>53</v>
      </c>
      <c r="I191" s="3" t="s">
        <v>31</v>
      </c>
      <c r="J191" s="3" t="s">
        <v>51</v>
      </c>
      <c r="K191" s="8">
        <v>44281.559027777781</v>
      </c>
      <c r="L191" s="8">
        <v>45192.245833333334</v>
      </c>
      <c r="M191" s="3">
        <v>0</v>
      </c>
      <c r="N191" s="3">
        <v>0</v>
      </c>
      <c r="O191" s="3" t="s">
        <v>85</v>
      </c>
      <c r="P191" s="10" t="s">
        <v>576</v>
      </c>
      <c r="Q191" s="3" t="s">
        <v>34</v>
      </c>
      <c r="R191" s="3">
        <v>4</v>
      </c>
      <c r="S191" s="3">
        <v>0</v>
      </c>
      <c r="T191" s="3" t="s">
        <v>54</v>
      </c>
      <c r="U191" s="3" t="s">
        <v>55</v>
      </c>
      <c r="V191" s="3" t="s">
        <v>37</v>
      </c>
      <c r="W191" s="11" t="str" cm="1">
        <f t="array" ref="W191">IF(H191="Request","No SLA for Request", IF(F191="Emergency",B191+(4/24), WORKDAY(B191, _xlfn.IFS(F191="High", 3, F191="Normal", 5, F191="Low", 10))))</f>
        <v>No SLA for Request</v>
      </c>
      <c r="X191" t="str">
        <f t="shared" si="2"/>
        <v>N/A</v>
      </c>
    </row>
    <row r="192" spans="1:24" ht="12.75" x14ac:dyDescent="0.2">
      <c r="A192" s="3">
        <v>111476</v>
      </c>
      <c r="B192" s="8">
        <v>44036.552777777775</v>
      </c>
      <c r="C192" s="3" t="s">
        <v>602</v>
      </c>
      <c r="D192" s="3" t="s">
        <v>70</v>
      </c>
      <c r="E192" s="3" t="s">
        <v>71</v>
      </c>
      <c r="F192" s="3" t="s">
        <v>124</v>
      </c>
      <c r="G192" s="3" t="s">
        <v>29</v>
      </c>
      <c r="H192" s="3" t="s">
        <v>30</v>
      </c>
      <c r="I192" s="3" t="s">
        <v>31</v>
      </c>
      <c r="J192" s="3" t="s">
        <v>32</v>
      </c>
      <c r="K192" s="8">
        <v>44279.631944444445</v>
      </c>
      <c r="L192" s="8">
        <v>44041.552777777775</v>
      </c>
      <c r="M192" s="3">
        <v>0</v>
      </c>
      <c r="N192" s="3">
        <v>1</v>
      </c>
      <c r="O192" s="3" t="s">
        <v>33</v>
      </c>
      <c r="P192" s="10" t="s">
        <v>576</v>
      </c>
      <c r="Q192" s="3" t="s">
        <v>43</v>
      </c>
      <c r="R192" s="3">
        <v>85</v>
      </c>
      <c r="S192" s="3">
        <v>27</v>
      </c>
      <c r="T192" s="3" t="s">
        <v>35</v>
      </c>
      <c r="U192" s="3" t="s">
        <v>36</v>
      </c>
      <c r="V192" s="3" t="s">
        <v>48</v>
      </c>
      <c r="W192" s="11" cm="1">
        <f t="array" ref="W192">IF(H192="Request","No SLA for Request", IF(F192="Emergency",B192+(4/24), WORKDAY(B192, _xlfn.IFS(F192="High", 3, F192="Normal", 5, F192="Low", 10))))</f>
        <v>44043</v>
      </c>
      <c r="X192" t="str">
        <f t="shared" si="2"/>
        <v>Yes</v>
      </c>
    </row>
    <row r="193" spans="1:24" ht="12.75" x14ac:dyDescent="0.2">
      <c r="A193" s="3">
        <v>111637</v>
      </c>
      <c r="B193" s="8">
        <v>44271.418055555558</v>
      </c>
      <c r="C193" s="3" t="s">
        <v>131</v>
      </c>
      <c r="D193" s="3" t="s">
        <v>52</v>
      </c>
      <c r="E193" s="3" t="s">
        <v>580</v>
      </c>
      <c r="F193" s="3" t="s">
        <v>124</v>
      </c>
      <c r="G193" s="3" t="s">
        <v>29</v>
      </c>
      <c r="H193" s="3" t="s">
        <v>30</v>
      </c>
      <c r="I193" s="3" t="s">
        <v>31</v>
      </c>
      <c r="J193" s="3" t="s">
        <v>41</v>
      </c>
      <c r="K193" s="8">
        <v>44279.557638888888</v>
      </c>
      <c r="L193" s="8">
        <v>45183.918055555558</v>
      </c>
      <c r="M193" s="3">
        <v>0</v>
      </c>
      <c r="N193" s="3">
        <v>0</v>
      </c>
      <c r="O193" s="3" t="s">
        <v>85</v>
      </c>
      <c r="P193" s="10" t="s">
        <v>576</v>
      </c>
      <c r="Q193" s="3" t="s">
        <v>43</v>
      </c>
      <c r="R193" s="3">
        <v>6</v>
      </c>
      <c r="S193" s="3">
        <v>3</v>
      </c>
      <c r="T193" s="3" t="s">
        <v>54</v>
      </c>
      <c r="U193" s="3" t="s">
        <v>55</v>
      </c>
      <c r="V193" s="3" t="s">
        <v>48</v>
      </c>
      <c r="W193" s="11" cm="1">
        <f t="array" ref="W193">IF(H193="Request","No SLA for Request", IF(F193="Emergency",B193+(4/24), WORKDAY(B193, _xlfn.IFS(F193="High", 3, F193="Normal", 5, F193="Low", 10))))</f>
        <v>44278</v>
      </c>
      <c r="X193" t="str">
        <f t="shared" si="2"/>
        <v>Yes</v>
      </c>
    </row>
    <row r="194" spans="1:24" ht="12.75" x14ac:dyDescent="0.2">
      <c r="A194" s="3">
        <v>111648</v>
      </c>
      <c r="B194" s="8">
        <v>44278.469444444447</v>
      </c>
      <c r="C194" s="3" t="s">
        <v>331</v>
      </c>
      <c r="D194" s="3" t="s">
        <v>132</v>
      </c>
      <c r="E194" s="3" t="s">
        <v>133</v>
      </c>
      <c r="F194" s="3" t="s">
        <v>124</v>
      </c>
      <c r="G194" s="3" t="s">
        <v>29</v>
      </c>
      <c r="H194" s="3" t="s">
        <v>53</v>
      </c>
      <c r="I194" s="3" t="s">
        <v>31</v>
      </c>
      <c r="J194" s="3" t="s">
        <v>32</v>
      </c>
      <c r="K194" s="8">
        <v>44278.728472222225</v>
      </c>
      <c r="L194" s="8">
        <v>45190.969444444447</v>
      </c>
      <c r="M194" s="3">
        <v>0</v>
      </c>
      <c r="N194" s="3">
        <v>1</v>
      </c>
      <c r="O194" s="3" t="s">
        <v>33</v>
      </c>
      <c r="P194" s="10" t="s">
        <v>576</v>
      </c>
      <c r="Q194" s="3" t="s">
        <v>72</v>
      </c>
      <c r="R194" s="3">
        <v>7</v>
      </c>
      <c r="S194" s="3">
        <v>0</v>
      </c>
      <c r="T194" s="3" t="s">
        <v>54</v>
      </c>
      <c r="U194" s="3" t="s">
        <v>62</v>
      </c>
      <c r="V194" s="3" t="s">
        <v>48</v>
      </c>
      <c r="W194" s="11" t="str" cm="1">
        <f t="array" ref="W194">IF(H194="Request","No SLA for Request", IF(F194="Emergency",B194+(4/24), WORKDAY(B194, _xlfn.IFS(F194="High", 3, F194="Normal", 5, F194="Low", 10))))</f>
        <v>No SLA for Request</v>
      </c>
      <c r="X194" t="str">
        <f t="shared" si="2"/>
        <v>N/A</v>
      </c>
    </row>
    <row r="195" spans="1:24" ht="12.75" x14ac:dyDescent="0.2">
      <c r="A195" s="3">
        <v>111647</v>
      </c>
      <c r="B195" s="8">
        <v>44277.772916666669</v>
      </c>
      <c r="C195" s="3" t="s">
        <v>332</v>
      </c>
      <c r="D195" s="3" t="s">
        <v>132</v>
      </c>
      <c r="E195" s="3" t="s">
        <v>133</v>
      </c>
      <c r="F195" s="3" t="s">
        <v>124</v>
      </c>
      <c r="G195" s="3" t="s">
        <v>577</v>
      </c>
      <c r="H195" s="3" t="s">
        <v>53</v>
      </c>
      <c r="I195" s="3" t="s">
        <v>68</v>
      </c>
      <c r="J195" s="3" t="s">
        <v>51</v>
      </c>
      <c r="K195" s="8">
        <v>44277.772916666669</v>
      </c>
      <c r="L195" s="8">
        <v>44282.772916666669</v>
      </c>
      <c r="M195" s="3">
        <v>1</v>
      </c>
      <c r="N195" s="3">
        <v>1</v>
      </c>
      <c r="O195" s="3" t="s">
        <v>85</v>
      </c>
      <c r="P195" s="10" t="s">
        <v>576</v>
      </c>
      <c r="Q195" s="3" t="s">
        <v>77</v>
      </c>
      <c r="R195" s="3">
        <v>3</v>
      </c>
      <c r="S195" s="3">
        <v>0</v>
      </c>
      <c r="T195" s="3" t="s">
        <v>54</v>
      </c>
      <c r="U195" s="3" t="s">
        <v>55</v>
      </c>
      <c r="V195" s="3" t="s">
        <v>37</v>
      </c>
      <c r="W195" s="11" t="str" cm="1">
        <f t="array" ref="W195">IF(H195="Request","No SLA for Request", IF(F195="Emergency",B195+(4/24), WORKDAY(B195, _xlfn.IFS(F195="High", 3, F195="Normal", 5, F195="Low", 10))))</f>
        <v>No SLA for Request</v>
      </c>
      <c r="X195" t="str">
        <f t="shared" ref="X195:X258" si="3">IF(K195&gt;=W195,"Yes",IF(W195="No SLA for Request","N/A","No"))</f>
        <v>N/A</v>
      </c>
    </row>
    <row r="196" spans="1:24" ht="12.75" x14ac:dyDescent="0.2">
      <c r="A196" s="3">
        <v>111646</v>
      </c>
      <c r="B196" s="8">
        <v>44277.767361111109</v>
      </c>
      <c r="C196" s="3" t="s">
        <v>333</v>
      </c>
      <c r="D196" s="3" t="s">
        <v>132</v>
      </c>
      <c r="E196" s="3" t="s">
        <v>133</v>
      </c>
      <c r="F196" s="3" t="s">
        <v>124</v>
      </c>
      <c r="G196" s="3" t="s">
        <v>577</v>
      </c>
      <c r="H196" s="3" t="s">
        <v>30</v>
      </c>
      <c r="I196" s="3" t="s">
        <v>31</v>
      </c>
      <c r="J196" s="3" t="s">
        <v>41</v>
      </c>
      <c r="K196" s="8">
        <v>44277.767361111109</v>
      </c>
      <c r="L196" s="8">
        <v>44282.767361111109</v>
      </c>
      <c r="M196" s="3">
        <v>1</v>
      </c>
      <c r="N196" s="3">
        <v>1</v>
      </c>
      <c r="O196" s="3" t="s">
        <v>85</v>
      </c>
      <c r="P196" s="10" t="s">
        <v>576</v>
      </c>
      <c r="Q196" s="3" t="s">
        <v>77</v>
      </c>
      <c r="R196" s="3">
        <v>5</v>
      </c>
      <c r="S196" s="3">
        <v>1</v>
      </c>
      <c r="T196" s="3" t="s">
        <v>54</v>
      </c>
      <c r="U196" s="3" t="s">
        <v>55</v>
      </c>
      <c r="V196" s="3" t="s">
        <v>37</v>
      </c>
      <c r="W196" s="11" cm="1">
        <f t="array" ref="W196">IF(H196="Request","No SLA for Request", IF(F196="Emergency",B196+(4/24), WORKDAY(B196, _xlfn.IFS(F196="High", 3, F196="Normal", 5, F196="Low", 10))))</f>
        <v>44284</v>
      </c>
      <c r="X196" t="str">
        <f t="shared" si="3"/>
        <v>No</v>
      </c>
    </row>
    <row r="197" spans="1:24" ht="12.75" x14ac:dyDescent="0.2">
      <c r="A197" s="3">
        <v>111645</v>
      </c>
      <c r="B197" s="8">
        <v>44274.369444444441</v>
      </c>
      <c r="C197" s="3" t="s">
        <v>334</v>
      </c>
      <c r="D197" s="3" t="s">
        <v>70</v>
      </c>
      <c r="E197" s="3" t="s">
        <v>71</v>
      </c>
      <c r="F197" s="3" t="s">
        <v>124</v>
      </c>
      <c r="G197" s="3" t="s">
        <v>29</v>
      </c>
      <c r="H197" s="3" t="s">
        <v>53</v>
      </c>
      <c r="I197" s="3" t="s">
        <v>31</v>
      </c>
      <c r="J197" s="3" t="s">
        <v>41</v>
      </c>
      <c r="K197" s="8">
        <v>44274.369444444441</v>
      </c>
      <c r="L197" s="8">
        <v>45186.869444444441</v>
      </c>
      <c r="M197" s="3">
        <v>0</v>
      </c>
      <c r="N197" s="3">
        <v>1</v>
      </c>
      <c r="O197" s="3" t="s">
        <v>85</v>
      </c>
      <c r="P197" s="10" t="s">
        <v>576</v>
      </c>
      <c r="Q197" s="3" t="s">
        <v>43</v>
      </c>
      <c r="R197" s="3">
        <v>5</v>
      </c>
      <c r="S197" s="3">
        <v>2</v>
      </c>
      <c r="T197" s="3" t="s">
        <v>35</v>
      </c>
      <c r="U197" s="3" t="s">
        <v>36</v>
      </c>
      <c r="V197" s="3" t="s">
        <v>48</v>
      </c>
      <c r="W197" s="11" t="str" cm="1">
        <f t="array" ref="W197">IF(H197="Request","No SLA for Request", IF(F197="Emergency",B197+(4/24), WORKDAY(B197, _xlfn.IFS(F197="High", 3, F197="Normal", 5, F197="Low", 10))))</f>
        <v>No SLA for Request</v>
      </c>
      <c r="X197" t="str">
        <f t="shared" si="3"/>
        <v>N/A</v>
      </c>
    </row>
    <row r="198" spans="1:24" ht="12.75" x14ac:dyDescent="0.2">
      <c r="A198" s="3">
        <v>111638</v>
      </c>
      <c r="B198" s="8">
        <v>44271.68472222222</v>
      </c>
      <c r="C198" s="3" t="s">
        <v>134</v>
      </c>
      <c r="D198" s="3" t="s">
        <v>132</v>
      </c>
      <c r="E198" s="3" t="s">
        <v>133</v>
      </c>
      <c r="F198" s="3" t="s">
        <v>124</v>
      </c>
      <c r="G198" s="3" t="s">
        <v>577</v>
      </c>
      <c r="H198" s="3" t="s">
        <v>30</v>
      </c>
      <c r="I198" s="3" t="s">
        <v>61</v>
      </c>
      <c r="J198" s="3" t="s">
        <v>51</v>
      </c>
      <c r="K198" s="8">
        <v>44271.68472222222</v>
      </c>
      <c r="L198" s="8">
        <v>44276.68472222222</v>
      </c>
      <c r="M198" s="3">
        <v>1</v>
      </c>
      <c r="N198" s="3">
        <v>0</v>
      </c>
      <c r="O198" s="3" t="s">
        <v>85</v>
      </c>
      <c r="P198" s="10" t="s">
        <v>576</v>
      </c>
      <c r="Q198" s="3" t="s">
        <v>77</v>
      </c>
      <c r="R198" s="3">
        <v>2</v>
      </c>
      <c r="S198" s="3">
        <v>0</v>
      </c>
      <c r="T198" s="3" t="s">
        <v>35</v>
      </c>
      <c r="U198" s="3" t="s">
        <v>36</v>
      </c>
      <c r="V198" s="3" t="s">
        <v>37</v>
      </c>
      <c r="W198" s="11" cm="1">
        <f t="array" ref="W198">IF(H198="Request","No SLA for Request", IF(F198="Emergency",B198+(4/24), WORKDAY(B198, _xlfn.IFS(F198="High", 3, F198="Normal", 5, F198="Low", 10))))</f>
        <v>44278</v>
      </c>
      <c r="X198" t="str">
        <f t="shared" si="3"/>
        <v>No</v>
      </c>
    </row>
    <row r="199" spans="1:24" ht="12.75" x14ac:dyDescent="0.2">
      <c r="A199" s="3">
        <v>111599</v>
      </c>
      <c r="B199" s="8">
        <v>44224.443749999999</v>
      </c>
      <c r="C199" s="3" t="s">
        <v>335</v>
      </c>
      <c r="D199" s="3" t="s">
        <v>63</v>
      </c>
      <c r="E199" s="3" t="s">
        <v>64</v>
      </c>
      <c r="F199" s="3" t="s">
        <v>124</v>
      </c>
      <c r="G199" s="3" t="s">
        <v>29</v>
      </c>
      <c r="H199" s="3" t="s">
        <v>53</v>
      </c>
      <c r="I199" s="3" t="s">
        <v>31</v>
      </c>
      <c r="J199" s="3" t="s">
        <v>32</v>
      </c>
      <c r="K199" s="8">
        <v>44270.715277777781</v>
      </c>
      <c r="L199" s="8">
        <v>44229.443749999999</v>
      </c>
      <c r="M199" s="3">
        <v>0</v>
      </c>
      <c r="N199" s="3">
        <v>1</v>
      </c>
      <c r="O199" s="3" t="s">
        <v>33</v>
      </c>
      <c r="P199" s="10" t="s">
        <v>576</v>
      </c>
      <c r="Q199" s="3" t="s">
        <v>34</v>
      </c>
      <c r="R199" s="3">
        <v>12</v>
      </c>
      <c r="S199" s="3">
        <v>3</v>
      </c>
      <c r="T199" s="3" t="s">
        <v>54</v>
      </c>
      <c r="U199" s="3" t="s">
        <v>62</v>
      </c>
      <c r="V199" s="3" t="s">
        <v>37</v>
      </c>
      <c r="W199" s="11" t="str" cm="1">
        <f t="array" ref="W199">IF(H199="Request","No SLA for Request", IF(F199="Emergency",B199+(4/24), WORKDAY(B199, _xlfn.IFS(F199="High", 3, F199="Normal", 5, F199="Low", 10))))</f>
        <v>No SLA for Request</v>
      </c>
      <c r="X199" t="str">
        <f t="shared" si="3"/>
        <v>N/A</v>
      </c>
    </row>
    <row r="200" spans="1:24" ht="12.75" x14ac:dyDescent="0.2">
      <c r="A200" s="3">
        <v>111627</v>
      </c>
      <c r="B200" s="8">
        <v>44259.550694444442</v>
      </c>
      <c r="C200" s="3" t="s">
        <v>336</v>
      </c>
      <c r="D200" s="3" t="s">
        <v>603</v>
      </c>
      <c r="E200" s="3" t="s">
        <v>604</v>
      </c>
      <c r="F200" s="3" t="s">
        <v>124</v>
      </c>
      <c r="G200" s="3" t="s">
        <v>29</v>
      </c>
      <c r="H200" s="3" t="s">
        <v>30</v>
      </c>
      <c r="I200" s="3" t="s">
        <v>31</v>
      </c>
      <c r="J200" s="3" t="s">
        <v>32</v>
      </c>
      <c r="K200" s="8">
        <v>44270.714583333334</v>
      </c>
      <c r="L200" s="8">
        <v>44264.550694444442</v>
      </c>
      <c r="M200" s="3">
        <v>0</v>
      </c>
      <c r="N200" s="3">
        <v>1</v>
      </c>
      <c r="O200" s="3" t="s">
        <v>33</v>
      </c>
      <c r="P200" s="10" t="s">
        <v>576</v>
      </c>
      <c r="Q200" s="3" t="s">
        <v>34</v>
      </c>
      <c r="R200" s="3">
        <v>5</v>
      </c>
      <c r="S200" s="3">
        <v>1</v>
      </c>
      <c r="T200" s="3" t="s">
        <v>35</v>
      </c>
      <c r="U200" s="3" t="s">
        <v>36</v>
      </c>
      <c r="V200" s="3" t="s">
        <v>37</v>
      </c>
      <c r="W200" s="11" cm="1">
        <f t="array" ref="W200">IF(H200="Request","No SLA for Request", IF(F200="Emergency",B200+(4/24), WORKDAY(B200, _xlfn.IFS(F200="High", 3, F200="Normal", 5, F200="Low", 10))))</f>
        <v>44266</v>
      </c>
      <c r="X200" t="str">
        <f t="shared" si="3"/>
        <v>Yes</v>
      </c>
    </row>
    <row r="201" spans="1:24" ht="12.75" x14ac:dyDescent="0.2">
      <c r="A201" s="3">
        <v>111628</v>
      </c>
      <c r="B201" s="8">
        <v>44259.552083333336</v>
      </c>
      <c r="C201" s="3" t="s">
        <v>337</v>
      </c>
      <c r="D201" s="3" t="s">
        <v>603</v>
      </c>
      <c r="E201" s="3" t="s">
        <v>604</v>
      </c>
      <c r="F201" s="3" t="s">
        <v>124</v>
      </c>
      <c r="G201" s="3" t="s">
        <v>29</v>
      </c>
      <c r="H201" s="3" t="s">
        <v>30</v>
      </c>
      <c r="I201" s="3" t="s">
        <v>31</v>
      </c>
      <c r="J201" s="3" t="s">
        <v>32</v>
      </c>
      <c r="K201" s="8">
        <v>44270.712500000001</v>
      </c>
      <c r="L201" s="8">
        <v>44264.552083333336</v>
      </c>
      <c r="M201" s="3">
        <v>0</v>
      </c>
      <c r="N201" s="3">
        <v>1</v>
      </c>
      <c r="O201" s="3" t="s">
        <v>33</v>
      </c>
      <c r="P201" s="10" t="s">
        <v>576</v>
      </c>
      <c r="Q201" s="3" t="s">
        <v>34</v>
      </c>
      <c r="R201" s="3">
        <v>5</v>
      </c>
      <c r="S201" s="3">
        <v>1</v>
      </c>
      <c r="T201" s="3" t="s">
        <v>35</v>
      </c>
      <c r="U201" s="3" t="s">
        <v>36</v>
      </c>
      <c r="V201" s="3" t="s">
        <v>37</v>
      </c>
      <c r="W201" s="11" cm="1">
        <f t="array" ref="W201">IF(H201="Request","No SLA for Request", IF(F201="Emergency",B201+(4/24), WORKDAY(B201, _xlfn.IFS(F201="High", 3, F201="Normal", 5, F201="Low", 10))))</f>
        <v>44266</v>
      </c>
      <c r="X201" t="str">
        <f t="shared" si="3"/>
        <v>Yes</v>
      </c>
    </row>
    <row r="202" spans="1:24" ht="12.75" x14ac:dyDescent="0.2">
      <c r="A202" s="3">
        <v>111626</v>
      </c>
      <c r="B202" s="8">
        <v>44258.655555555553</v>
      </c>
      <c r="C202" s="3" t="s">
        <v>605</v>
      </c>
      <c r="D202" s="3" t="s">
        <v>52</v>
      </c>
      <c r="E202" s="3" t="s">
        <v>580</v>
      </c>
      <c r="F202" s="3" t="s">
        <v>124</v>
      </c>
      <c r="G202" s="3" t="s">
        <v>29</v>
      </c>
      <c r="H202" s="3" t="s">
        <v>53</v>
      </c>
      <c r="I202" s="3" t="s">
        <v>31</v>
      </c>
      <c r="J202" s="3" t="s">
        <v>32</v>
      </c>
      <c r="K202" s="8">
        <v>44266.693055555559</v>
      </c>
      <c r="L202" s="8">
        <v>44259.155555555553</v>
      </c>
      <c r="M202" s="3">
        <v>0</v>
      </c>
      <c r="N202" s="3">
        <v>1</v>
      </c>
      <c r="O202" s="3" t="s">
        <v>33</v>
      </c>
      <c r="P202" s="10" t="s">
        <v>576</v>
      </c>
      <c r="Q202" s="3" t="s">
        <v>43</v>
      </c>
      <c r="R202" s="3">
        <v>3</v>
      </c>
      <c r="S202" s="3">
        <v>0</v>
      </c>
      <c r="T202" s="3" t="s">
        <v>54</v>
      </c>
      <c r="U202" s="3" t="s">
        <v>55</v>
      </c>
      <c r="V202" s="3" t="s">
        <v>48</v>
      </c>
      <c r="W202" s="11" t="str" cm="1">
        <f t="array" ref="W202">IF(H202="Request","No SLA for Request", IF(F202="Emergency",B202+(4/24), WORKDAY(B202, _xlfn.IFS(F202="High", 3, F202="Normal", 5, F202="Low", 10))))</f>
        <v>No SLA for Request</v>
      </c>
      <c r="X202" t="str">
        <f t="shared" si="3"/>
        <v>N/A</v>
      </c>
    </row>
    <row r="203" spans="1:24" ht="12.75" x14ac:dyDescent="0.2">
      <c r="A203" s="3">
        <v>111635</v>
      </c>
      <c r="B203" s="8">
        <v>44266.495833333334</v>
      </c>
      <c r="C203" s="3" t="s">
        <v>338</v>
      </c>
      <c r="D203" s="3" t="s">
        <v>39</v>
      </c>
      <c r="E203" s="3" t="s">
        <v>40</v>
      </c>
      <c r="F203" s="3" t="s">
        <v>124</v>
      </c>
      <c r="G203" s="3" t="s">
        <v>29</v>
      </c>
      <c r="H203" s="3" t="s">
        <v>30</v>
      </c>
      <c r="I203" s="3" t="s">
        <v>129</v>
      </c>
      <c r="J203" s="3" t="s">
        <v>51</v>
      </c>
      <c r="K203" s="8">
        <v>44266.495833333334</v>
      </c>
      <c r="L203" s="8">
        <v>45178.995833333334</v>
      </c>
      <c r="M203" s="3">
        <v>0</v>
      </c>
      <c r="N203" s="3">
        <v>1</v>
      </c>
      <c r="O203" s="3" t="s">
        <v>85</v>
      </c>
      <c r="P203" s="10" t="s">
        <v>576</v>
      </c>
      <c r="Q203" s="3" t="s">
        <v>43</v>
      </c>
      <c r="R203" s="3">
        <v>3</v>
      </c>
      <c r="S203" s="3">
        <v>1</v>
      </c>
      <c r="T203" s="3" t="s">
        <v>54</v>
      </c>
      <c r="U203" s="3" t="s">
        <v>55</v>
      </c>
      <c r="V203" s="3" t="s">
        <v>37</v>
      </c>
      <c r="W203" s="11" cm="1">
        <f t="array" ref="W203">IF(H203="Request","No SLA for Request", IF(F203="Emergency",B203+(4/24), WORKDAY(B203, _xlfn.IFS(F203="High", 3, F203="Normal", 5, F203="Low", 10))))</f>
        <v>44273</v>
      </c>
      <c r="X203" t="str">
        <f t="shared" si="3"/>
        <v>No</v>
      </c>
    </row>
    <row r="204" spans="1:24" ht="12.75" x14ac:dyDescent="0.2">
      <c r="A204" s="3">
        <v>111619</v>
      </c>
      <c r="B204" s="8">
        <v>44244.647222222222</v>
      </c>
      <c r="C204" s="3" t="s">
        <v>339</v>
      </c>
      <c r="D204" s="3" t="s">
        <v>70</v>
      </c>
      <c r="E204" s="3" t="s">
        <v>71</v>
      </c>
      <c r="F204" s="3" t="s">
        <v>124</v>
      </c>
      <c r="G204" s="3" t="s">
        <v>29</v>
      </c>
      <c r="H204" s="3" t="s">
        <v>30</v>
      </c>
      <c r="I204" s="3" t="s">
        <v>31</v>
      </c>
      <c r="J204" s="3" t="s">
        <v>32</v>
      </c>
      <c r="K204" s="8">
        <v>44265.71597222222</v>
      </c>
      <c r="L204" s="8">
        <v>44245.147222222222</v>
      </c>
      <c r="M204" s="3">
        <v>0</v>
      </c>
      <c r="N204" s="3">
        <v>1</v>
      </c>
      <c r="O204" s="3" t="s">
        <v>33</v>
      </c>
      <c r="P204" s="10" t="s">
        <v>576</v>
      </c>
      <c r="Q204" s="3" t="s">
        <v>43</v>
      </c>
      <c r="R204" s="3">
        <v>21</v>
      </c>
      <c r="S204" s="3">
        <v>11</v>
      </c>
      <c r="T204" s="3" t="s">
        <v>35</v>
      </c>
      <c r="U204" s="3" t="s">
        <v>36</v>
      </c>
      <c r="V204" s="3" t="s">
        <v>48</v>
      </c>
      <c r="W204" s="11" cm="1">
        <f t="array" ref="W204">IF(H204="Request","No SLA for Request", IF(F204="Emergency",B204+(4/24), WORKDAY(B204, _xlfn.IFS(F204="High", 3, F204="Normal", 5, F204="Low", 10))))</f>
        <v>44251</v>
      </c>
      <c r="X204" t="str">
        <f t="shared" si="3"/>
        <v>Yes</v>
      </c>
    </row>
    <row r="205" spans="1:24" ht="12.75" x14ac:dyDescent="0.2">
      <c r="A205" s="3">
        <v>111615</v>
      </c>
      <c r="B205" s="8">
        <v>44242.586111111108</v>
      </c>
      <c r="C205" s="3" t="s">
        <v>340</v>
      </c>
      <c r="D205" s="3" t="s">
        <v>63</v>
      </c>
      <c r="E205" s="3" t="s">
        <v>64</v>
      </c>
      <c r="F205" s="3" t="s">
        <v>124</v>
      </c>
      <c r="G205" s="3" t="s">
        <v>29</v>
      </c>
      <c r="H205" s="3" t="s">
        <v>30</v>
      </c>
      <c r="I205" s="3" t="s">
        <v>31</v>
      </c>
      <c r="J205" s="3" t="s">
        <v>32</v>
      </c>
      <c r="K205" s="8">
        <v>44264.629166666666</v>
      </c>
      <c r="L205" s="12" t="s">
        <v>576</v>
      </c>
      <c r="M205" s="3">
        <v>0</v>
      </c>
      <c r="N205" s="3">
        <v>1</v>
      </c>
      <c r="O205" s="3" t="s">
        <v>33</v>
      </c>
      <c r="P205" s="10" t="s">
        <v>576</v>
      </c>
      <c r="Q205" s="3" t="s">
        <v>34</v>
      </c>
      <c r="R205" s="3">
        <v>6</v>
      </c>
      <c r="S205" s="3">
        <v>2</v>
      </c>
      <c r="T205" s="3" t="s">
        <v>35</v>
      </c>
      <c r="U205" s="3" t="s">
        <v>36</v>
      </c>
      <c r="V205" s="3" t="s">
        <v>37</v>
      </c>
      <c r="W205" s="11" cm="1">
        <f t="array" ref="W205">IF(H205="Request","No SLA for Request", IF(F205="Emergency",B205+(4/24), WORKDAY(B205, _xlfn.IFS(F205="High", 3, F205="Normal", 5, F205="Low", 10))))</f>
        <v>44249</v>
      </c>
      <c r="X205" t="str">
        <f t="shared" si="3"/>
        <v>Yes</v>
      </c>
    </row>
    <row r="206" spans="1:24" ht="12.75" x14ac:dyDescent="0.2">
      <c r="A206" s="3">
        <v>111625</v>
      </c>
      <c r="B206" s="8">
        <v>44251.481944444444</v>
      </c>
      <c r="C206" s="3" t="s">
        <v>135</v>
      </c>
      <c r="D206" s="3" t="s">
        <v>26</v>
      </c>
      <c r="E206" s="3" t="s">
        <v>27</v>
      </c>
      <c r="F206" s="3" t="s">
        <v>124</v>
      </c>
      <c r="G206" s="3" t="s">
        <v>29</v>
      </c>
      <c r="H206" s="3" t="s">
        <v>53</v>
      </c>
      <c r="I206" s="3" t="s">
        <v>31</v>
      </c>
      <c r="J206" s="3" t="s">
        <v>32</v>
      </c>
      <c r="K206" s="8">
        <v>44264.366666666669</v>
      </c>
      <c r="L206" s="8">
        <v>44251.981944444444</v>
      </c>
      <c r="M206" s="3">
        <v>0</v>
      </c>
      <c r="N206" s="3">
        <v>1</v>
      </c>
      <c r="O206" s="3" t="s">
        <v>33</v>
      </c>
      <c r="P206" s="10" t="s">
        <v>576</v>
      </c>
      <c r="Q206" s="3" t="s">
        <v>34</v>
      </c>
      <c r="R206" s="3">
        <v>12</v>
      </c>
      <c r="S206" s="3">
        <v>3</v>
      </c>
      <c r="T206" s="3" t="s">
        <v>35</v>
      </c>
      <c r="U206" s="3" t="s">
        <v>36</v>
      </c>
      <c r="V206" s="3" t="s">
        <v>37</v>
      </c>
      <c r="W206" s="11" t="str" cm="1">
        <f t="array" ref="W206">IF(H206="Request","No SLA for Request", IF(F206="Emergency",B206+(4/24), WORKDAY(B206, _xlfn.IFS(F206="High", 3, F206="Normal", 5, F206="Low", 10))))</f>
        <v>No SLA for Request</v>
      </c>
      <c r="X206" t="str">
        <f t="shared" si="3"/>
        <v>N/A</v>
      </c>
    </row>
    <row r="207" spans="1:24" ht="12.75" x14ac:dyDescent="0.2">
      <c r="A207" s="3">
        <v>111631</v>
      </c>
      <c r="B207" s="8">
        <v>44260.65902777778</v>
      </c>
      <c r="C207" s="3" t="s">
        <v>341</v>
      </c>
      <c r="D207" s="3" t="s">
        <v>132</v>
      </c>
      <c r="E207" s="3" t="s">
        <v>133</v>
      </c>
      <c r="F207" s="3" t="s">
        <v>124</v>
      </c>
      <c r="G207" s="3" t="s">
        <v>577</v>
      </c>
      <c r="H207" s="3" t="s">
        <v>30</v>
      </c>
      <c r="I207" s="3" t="s">
        <v>31</v>
      </c>
      <c r="J207" s="3" t="s">
        <v>51</v>
      </c>
      <c r="K207" s="8">
        <v>44260.65902777778</v>
      </c>
      <c r="L207" s="8">
        <v>44265.65902777778</v>
      </c>
      <c r="M207" s="3">
        <v>1</v>
      </c>
      <c r="N207" s="3">
        <v>0</v>
      </c>
      <c r="O207" s="3" t="s">
        <v>85</v>
      </c>
      <c r="P207" s="10" t="s">
        <v>576</v>
      </c>
      <c r="Q207" s="3" t="s">
        <v>77</v>
      </c>
      <c r="R207" s="3">
        <v>2</v>
      </c>
      <c r="S207" s="3">
        <v>0</v>
      </c>
      <c r="T207" s="3" t="s">
        <v>35</v>
      </c>
      <c r="U207" s="3" t="s">
        <v>36</v>
      </c>
      <c r="V207" s="3" t="s">
        <v>37</v>
      </c>
      <c r="W207" s="11" cm="1">
        <f t="array" ref="W207">IF(H207="Request","No SLA for Request", IF(F207="Emergency",B207+(4/24), WORKDAY(B207, _xlfn.IFS(F207="High", 3, F207="Normal", 5, F207="Low", 10))))</f>
        <v>44267</v>
      </c>
      <c r="X207" t="str">
        <f t="shared" si="3"/>
        <v>No</v>
      </c>
    </row>
    <row r="208" spans="1:24" ht="12.75" x14ac:dyDescent="0.2">
      <c r="A208" s="3">
        <v>111629</v>
      </c>
      <c r="B208" s="8">
        <v>44260.450694444444</v>
      </c>
      <c r="C208" s="3" t="s">
        <v>134</v>
      </c>
      <c r="D208" s="3" t="s">
        <v>132</v>
      </c>
      <c r="E208" s="3" t="s">
        <v>133</v>
      </c>
      <c r="F208" s="3" t="s">
        <v>124</v>
      </c>
      <c r="G208" s="3" t="s">
        <v>577</v>
      </c>
      <c r="H208" s="3" t="s">
        <v>30</v>
      </c>
      <c r="I208" s="3" t="s">
        <v>31</v>
      </c>
      <c r="J208" s="3" t="s">
        <v>51</v>
      </c>
      <c r="K208" s="8">
        <v>44260.450694444444</v>
      </c>
      <c r="L208" s="8">
        <v>44267.708333333336</v>
      </c>
      <c r="M208" s="3">
        <v>1</v>
      </c>
      <c r="N208" s="3">
        <v>0</v>
      </c>
      <c r="O208" s="3" t="s">
        <v>85</v>
      </c>
      <c r="P208" s="10" t="s">
        <v>576</v>
      </c>
      <c r="Q208" s="3" t="s">
        <v>77</v>
      </c>
      <c r="R208" s="3">
        <v>3</v>
      </c>
      <c r="S208" s="3">
        <v>0</v>
      </c>
      <c r="T208" s="3" t="s">
        <v>54</v>
      </c>
      <c r="U208" s="3" t="s">
        <v>55</v>
      </c>
      <c r="V208" s="3" t="s">
        <v>37</v>
      </c>
      <c r="W208" s="11" cm="1">
        <f t="array" ref="W208">IF(H208="Request","No SLA for Request", IF(F208="Emergency",B208+(4/24), WORKDAY(B208, _xlfn.IFS(F208="High", 3, F208="Normal", 5, F208="Low", 10))))</f>
        <v>44267</v>
      </c>
      <c r="X208" t="str">
        <f t="shared" si="3"/>
        <v>No</v>
      </c>
    </row>
    <row r="209" spans="1:24" ht="12.75" x14ac:dyDescent="0.2">
      <c r="A209" s="3">
        <v>111609</v>
      </c>
      <c r="B209" s="8">
        <v>44242.572916666664</v>
      </c>
      <c r="C209" s="3" t="s">
        <v>342</v>
      </c>
      <c r="D209" s="3" t="s">
        <v>63</v>
      </c>
      <c r="E209" s="3" t="s">
        <v>64</v>
      </c>
      <c r="F209" s="3" t="s">
        <v>124</v>
      </c>
      <c r="G209" s="3" t="s">
        <v>29</v>
      </c>
      <c r="H209" s="3" t="s">
        <v>30</v>
      </c>
      <c r="I209" s="3" t="s">
        <v>31</v>
      </c>
      <c r="J209" s="3" t="s">
        <v>32</v>
      </c>
      <c r="K209" s="8">
        <v>44257.737500000003</v>
      </c>
      <c r="L209" s="12" t="s">
        <v>576</v>
      </c>
      <c r="M209" s="3">
        <v>0</v>
      </c>
      <c r="N209" s="3">
        <v>1</v>
      </c>
      <c r="O209" s="3" t="s">
        <v>33</v>
      </c>
      <c r="P209" s="10" t="s">
        <v>576</v>
      </c>
      <c r="Q209" s="3" t="s">
        <v>34</v>
      </c>
      <c r="R209" s="3">
        <v>6</v>
      </c>
      <c r="S209" s="3">
        <v>2</v>
      </c>
      <c r="T209" s="3" t="s">
        <v>35</v>
      </c>
      <c r="U209" s="3" t="s">
        <v>36</v>
      </c>
      <c r="V209" s="3" t="s">
        <v>37</v>
      </c>
      <c r="W209" s="11" cm="1">
        <f t="array" ref="W209">IF(H209="Request","No SLA for Request", IF(F209="Emergency",B209+(4/24), WORKDAY(B209, _xlfn.IFS(F209="High", 3, F209="Normal", 5, F209="Low", 10))))</f>
        <v>44249</v>
      </c>
      <c r="X209" t="str">
        <f t="shared" si="3"/>
        <v>Yes</v>
      </c>
    </row>
    <row r="210" spans="1:24" ht="12.75" x14ac:dyDescent="0.2">
      <c r="A210" s="3">
        <v>111623</v>
      </c>
      <c r="B210" s="8">
        <v>44249.704861111109</v>
      </c>
      <c r="C210" s="3" t="s">
        <v>606</v>
      </c>
      <c r="D210" s="3" t="s">
        <v>52</v>
      </c>
      <c r="E210" s="3" t="s">
        <v>580</v>
      </c>
      <c r="F210" s="3" t="s">
        <v>124</v>
      </c>
      <c r="G210" s="3" t="s">
        <v>29</v>
      </c>
      <c r="H210" s="3" t="s">
        <v>53</v>
      </c>
      <c r="I210" s="3" t="s">
        <v>31</v>
      </c>
      <c r="J210" s="3" t="s">
        <v>51</v>
      </c>
      <c r="K210" s="8">
        <v>44256.680555555555</v>
      </c>
      <c r="L210" s="8">
        <v>45162.204861111109</v>
      </c>
      <c r="M210" s="3">
        <v>0</v>
      </c>
      <c r="N210" s="3">
        <v>0</v>
      </c>
      <c r="O210" s="3" t="s">
        <v>85</v>
      </c>
      <c r="P210" s="10" t="s">
        <v>576</v>
      </c>
      <c r="Q210" s="3" t="s">
        <v>43</v>
      </c>
      <c r="R210" s="3">
        <v>4</v>
      </c>
      <c r="S210" s="3">
        <v>0</v>
      </c>
      <c r="T210" s="3" t="s">
        <v>54</v>
      </c>
      <c r="U210" s="3" t="s">
        <v>55</v>
      </c>
      <c r="V210" s="3" t="s">
        <v>37</v>
      </c>
      <c r="W210" s="11" t="str" cm="1">
        <f t="array" ref="W210">IF(H210="Request","No SLA for Request", IF(F210="Emergency",B210+(4/24), WORKDAY(B210, _xlfn.IFS(F210="High", 3, F210="Normal", 5, F210="Low", 10))))</f>
        <v>No SLA for Request</v>
      </c>
      <c r="X210" t="str">
        <f t="shared" si="3"/>
        <v>N/A</v>
      </c>
    </row>
    <row r="211" spans="1:24" ht="12.75" x14ac:dyDescent="0.2">
      <c r="A211" s="3">
        <v>111606</v>
      </c>
      <c r="B211" s="8">
        <v>44237.453472222223</v>
      </c>
      <c r="C211" s="3" t="s">
        <v>343</v>
      </c>
      <c r="D211" s="3" t="s">
        <v>70</v>
      </c>
      <c r="E211" s="3" t="s">
        <v>71</v>
      </c>
      <c r="F211" s="3" t="s">
        <v>124</v>
      </c>
      <c r="G211" s="3" t="s">
        <v>29</v>
      </c>
      <c r="H211" s="3" t="s">
        <v>30</v>
      </c>
      <c r="I211" s="3" t="s">
        <v>31</v>
      </c>
      <c r="J211" s="3" t="s">
        <v>32</v>
      </c>
      <c r="K211" s="8">
        <v>44253.725694444445</v>
      </c>
      <c r="L211" s="8">
        <v>44237.953472222223</v>
      </c>
      <c r="M211" s="3">
        <v>0</v>
      </c>
      <c r="N211" s="3">
        <v>1</v>
      </c>
      <c r="O211" s="3" t="s">
        <v>85</v>
      </c>
      <c r="P211" s="10" t="s">
        <v>576</v>
      </c>
      <c r="Q211" s="3" t="s">
        <v>72</v>
      </c>
      <c r="R211" s="3">
        <v>7</v>
      </c>
      <c r="S211" s="3">
        <v>2</v>
      </c>
      <c r="T211" s="3" t="s">
        <v>35</v>
      </c>
      <c r="U211" s="3" t="s">
        <v>36</v>
      </c>
      <c r="V211" s="3" t="s">
        <v>37</v>
      </c>
      <c r="W211" s="11" cm="1">
        <f t="array" ref="W211">IF(H211="Request","No SLA for Request", IF(F211="Emergency",B211+(4/24), WORKDAY(B211, _xlfn.IFS(F211="High", 3, F211="Normal", 5, F211="Low", 10))))</f>
        <v>44244</v>
      </c>
      <c r="X211" t="str">
        <f t="shared" si="3"/>
        <v>Yes</v>
      </c>
    </row>
    <row r="212" spans="1:24" ht="12.75" x14ac:dyDescent="0.2">
      <c r="A212" s="3">
        <v>111610</v>
      </c>
      <c r="B212" s="8">
        <v>44242.574305555558</v>
      </c>
      <c r="C212" s="3" t="s">
        <v>344</v>
      </c>
      <c r="D212" s="3" t="s">
        <v>63</v>
      </c>
      <c r="E212" s="3" t="s">
        <v>64</v>
      </c>
      <c r="F212" s="3" t="s">
        <v>124</v>
      </c>
      <c r="G212" s="3" t="s">
        <v>29</v>
      </c>
      <c r="H212" s="3" t="s">
        <v>30</v>
      </c>
      <c r="I212" s="3" t="s">
        <v>31</v>
      </c>
      <c r="J212" s="3" t="s">
        <v>32</v>
      </c>
      <c r="K212" s="8">
        <v>44251.734722222223</v>
      </c>
      <c r="L212" s="8">
        <v>44243.074305555558</v>
      </c>
      <c r="M212" s="3">
        <v>0</v>
      </c>
      <c r="N212" s="3">
        <v>1</v>
      </c>
      <c r="O212" s="3" t="s">
        <v>33</v>
      </c>
      <c r="P212" s="10" t="s">
        <v>576</v>
      </c>
      <c r="Q212" s="3" t="s">
        <v>34</v>
      </c>
      <c r="R212" s="3">
        <v>5</v>
      </c>
      <c r="S212" s="3">
        <v>1</v>
      </c>
      <c r="T212" s="3" t="s">
        <v>35</v>
      </c>
      <c r="U212" s="3" t="s">
        <v>36</v>
      </c>
      <c r="V212" s="3" t="s">
        <v>37</v>
      </c>
      <c r="W212" s="11" cm="1">
        <f t="array" ref="W212">IF(H212="Request","No SLA for Request", IF(F212="Emergency",B212+(4/24), WORKDAY(B212, _xlfn.IFS(F212="High", 3, F212="Normal", 5, F212="Low", 10))))</f>
        <v>44249</v>
      </c>
      <c r="X212" t="str">
        <f t="shared" si="3"/>
        <v>Yes</v>
      </c>
    </row>
    <row r="213" spans="1:24" ht="12.75" x14ac:dyDescent="0.2">
      <c r="A213" s="3">
        <v>111612</v>
      </c>
      <c r="B213" s="8">
        <v>44242.578472222223</v>
      </c>
      <c r="C213" s="3" t="s">
        <v>345</v>
      </c>
      <c r="D213" s="3" t="s">
        <v>63</v>
      </c>
      <c r="E213" s="3" t="s">
        <v>64</v>
      </c>
      <c r="F213" s="3" t="s">
        <v>124</v>
      </c>
      <c r="G213" s="3" t="s">
        <v>29</v>
      </c>
      <c r="H213" s="3" t="s">
        <v>30</v>
      </c>
      <c r="I213" s="3" t="s">
        <v>31</v>
      </c>
      <c r="J213" s="3" t="s">
        <v>32</v>
      </c>
      <c r="K213" s="8">
        <v>44251.734027777777</v>
      </c>
      <c r="L213" s="8">
        <v>44243.078472222223</v>
      </c>
      <c r="M213" s="3">
        <v>0</v>
      </c>
      <c r="N213" s="3">
        <v>1</v>
      </c>
      <c r="O213" s="3" t="s">
        <v>33</v>
      </c>
      <c r="P213" s="10" t="s">
        <v>576</v>
      </c>
      <c r="Q213" s="3" t="s">
        <v>34</v>
      </c>
      <c r="R213" s="3">
        <v>5</v>
      </c>
      <c r="S213" s="3">
        <v>1</v>
      </c>
      <c r="T213" s="3" t="s">
        <v>35</v>
      </c>
      <c r="U213" s="3" t="s">
        <v>36</v>
      </c>
      <c r="V213" s="3" t="s">
        <v>37</v>
      </c>
      <c r="W213" s="11" cm="1">
        <f t="array" ref="W213">IF(H213="Request","No SLA for Request", IF(F213="Emergency",B213+(4/24), WORKDAY(B213, _xlfn.IFS(F213="High", 3, F213="Normal", 5, F213="Low", 10))))</f>
        <v>44249</v>
      </c>
      <c r="X213" t="str">
        <f t="shared" si="3"/>
        <v>Yes</v>
      </c>
    </row>
    <row r="214" spans="1:24" ht="12.75" x14ac:dyDescent="0.2">
      <c r="A214" s="3">
        <v>111613</v>
      </c>
      <c r="B214" s="8">
        <v>44242.580555555556</v>
      </c>
      <c r="C214" s="3" t="s">
        <v>607</v>
      </c>
      <c r="D214" s="3" t="s">
        <v>63</v>
      </c>
      <c r="E214" s="3" t="s">
        <v>64</v>
      </c>
      <c r="F214" s="3" t="s">
        <v>124</v>
      </c>
      <c r="G214" s="3" t="s">
        <v>29</v>
      </c>
      <c r="H214" s="3" t="s">
        <v>30</v>
      </c>
      <c r="I214" s="3" t="s">
        <v>31</v>
      </c>
      <c r="J214" s="3" t="s">
        <v>32</v>
      </c>
      <c r="K214" s="8">
        <v>44251.731944444444</v>
      </c>
      <c r="L214" s="12" t="s">
        <v>576</v>
      </c>
      <c r="M214" s="3">
        <v>0</v>
      </c>
      <c r="N214" s="3">
        <v>1</v>
      </c>
      <c r="O214" s="3" t="s">
        <v>33</v>
      </c>
      <c r="P214" s="10" t="s">
        <v>576</v>
      </c>
      <c r="Q214" s="3" t="s">
        <v>34</v>
      </c>
      <c r="R214" s="3">
        <v>5</v>
      </c>
      <c r="S214" s="3">
        <v>1</v>
      </c>
      <c r="T214" s="3" t="s">
        <v>35</v>
      </c>
      <c r="U214" s="3" t="s">
        <v>36</v>
      </c>
      <c r="V214" s="3" t="s">
        <v>37</v>
      </c>
      <c r="W214" s="11" cm="1">
        <f t="array" ref="W214">IF(H214="Request","No SLA for Request", IF(F214="Emergency",B214+(4/24), WORKDAY(B214, _xlfn.IFS(F214="High", 3, F214="Normal", 5, F214="Low", 10))))</f>
        <v>44249</v>
      </c>
      <c r="X214" t="str">
        <f t="shared" si="3"/>
        <v>Yes</v>
      </c>
    </row>
    <row r="215" spans="1:24" ht="12.75" x14ac:dyDescent="0.2">
      <c r="A215" s="3">
        <v>111614</v>
      </c>
      <c r="B215" s="8">
        <v>44242.584722222222</v>
      </c>
      <c r="C215" s="3" t="s">
        <v>346</v>
      </c>
      <c r="D215" s="3" t="s">
        <v>63</v>
      </c>
      <c r="E215" s="3" t="s">
        <v>64</v>
      </c>
      <c r="F215" s="3" t="s">
        <v>124</v>
      </c>
      <c r="G215" s="3" t="s">
        <v>29</v>
      </c>
      <c r="H215" s="3" t="s">
        <v>30</v>
      </c>
      <c r="I215" s="3" t="s">
        <v>31</v>
      </c>
      <c r="J215" s="3" t="s">
        <v>32</v>
      </c>
      <c r="K215" s="8">
        <v>44251.727777777778</v>
      </c>
      <c r="L215" s="8">
        <v>44243.084722222222</v>
      </c>
      <c r="M215" s="3">
        <v>0</v>
      </c>
      <c r="N215" s="3">
        <v>1</v>
      </c>
      <c r="O215" s="3" t="s">
        <v>33</v>
      </c>
      <c r="P215" s="10" t="s">
        <v>576</v>
      </c>
      <c r="Q215" s="3" t="s">
        <v>34</v>
      </c>
      <c r="R215" s="3">
        <v>5</v>
      </c>
      <c r="S215" s="3">
        <v>1</v>
      </c>
      <c r="T215" s="3" t="s">
        <v>35</v>
      </c>
      <c r="U215" s="3" t="s">
        <v>36</v>
      </c>
      <c r="V215" s="3" t="s">
        <v>37</v>
      </c>
      <c r="W215" s="11" cm="1">
        <f t="array" ref="W215">IF(H215="Request","No SLA for Request", IF(F215="Emergency",B215+(4/24), WORKDAY(B215, _xlfn.IFS(F215="High", 3, F215="Normal", 5, F215="Low", 10))))</f>
        <v>44249</v>
      </c>
      <c r="X215" t="str">
        <f t="shared" si="3"/>
        <v>Yes</v>
      </c>
    </row>
    <row r="216" spans="1:24" ht="12.75" x14ac:dyDescent="0.2">
      <c r="A216" s="3">
        <v>111604</v>
      </c>
      <c r="B216" s="8">
        <v>44230.59097222222</v>
      </c>
      <c r="C216" s="3" t="s">
        <v>347</v>
      </c>
      <c r="D216" s="3" t="s">
        <v>70</v>
      </c>
      <c r="E216" s="3" t="s">
        <v>71</v>
      </c>
      <c r="F216" s="3" t="s">
        <v>124</v>
      </c>
      <c r="G216" s="3" t="s">
        <v>29</v>
      </c>
      <c r="H216" s="3" t="s">
        <v>30</v>
      </c>
      <c r="I216" s="3" t="s">
        <v>31</v>
      </c>
      <c r="J216" s="3" t="s">
        <v>32</v>
      </c>
      <c r="K216" s="8">
        <v>44250.740972222222</v>
      </c>
      <c r="L216" s="8">
        <v>44231.09097222222</v>
      </c>
      <c r="M216" s="3">
        <v>0</v>
      </c>
      <c r="N216" s="3">
        <v>1</v>
      </c>
      <c r="O216" s="3" t="s">
        <v>33</v>
      </c>
      <c r="P216" s="10" t="s">
        <v>576</v>
      </c>
      <c r="Q216" s="3" t="s">
        <v>43</v>
      </c>
      <c r="R216" s="3">
        <v>9</v>
      </c>
      <c r="S216" s="3">
        <v>1</v>
      </c>
      <c r="T216" s="3" t="s">
        <v>54</v>
      </c>
      <c r="U216" s="3" t="s">
        <v>55</v>
      </c>
      <c r="V216" s="3" t="s">
        <v>37</v>
      </c>
      <c r="W216" s="11" cm="1">
        <f t="array" ref="W216">IF(H216="Request","No SLA for Request", IF(F216="Emergency",B216+(4/24), WORKDAY(B216, _xlfn.IFS(F216="High", 3, F216="Normal", 5, F216="Low", 10))))</f>
        <v>44237</v>
      </c>
      <c r="X216" t="str">
        <f t="shared" si="3"/>
        <v>Yes</v>
      </c>
    </row>
    <row r="217" spans="1:24" ht="12.75" x14ac:dyDescent="0.2">
      <c r="A217" s="3">
        <v>111605</v>
      </c>
      <c r="B217" s="8">
        <v>44235.69027777778</v>
      </c>
      <c r="C217" s="3" t="s">
        <v>348</v>
      </c>
      <c r="D217" s="3" t="s">
        <v>49</v>
      </c>
      <c r="E217" s="3" t="s">
        <v>50</v>
      </c>
      <c r="F217" s="3" t="s">
        <v>124</v>
      </c>
      <c r="G217" s="3" t="s">
        <v>29</v>
      </c>
      <c r="H217" s="3" t="s">
        <v>30</v>
      </c>
      <c r="I217" s="3" t="s">
        <v>31</v>
      </c>
      <c r="J217" s="3" t="s">
        <v>32</v>
      </c>
      <c r="K217" s="8">
        <v>44249.732638888891</v>
      </c>
      <c r="L217" s="8">
        <v>44236.19027777778</v>
      </c>
      <c r="M217" s="3">
        <v>0</v>
      </c>
      <c r="N217" s="3">
        <v>1</v>
      </c>
      <c r="O217" s="3" t="s">
        <v>33</v>
      </c>
      <c r="P217" s="10" t="s">
        <v>576</v>
      </c>
      <c r="Q217" s="3" t="s">
        <v>34</v>
      </c>
      <c r="R217" s="3">
        <v>19</v>
      </c>
      <c r="S217" s="3">
        <v>2</v>
      </c>
      <c r="T217" s="3" t="s">
        <v>35</v>
      </c>
      <c r="U217" s="3" t="s">
        <v>36</v>
      </c>
      <c r="V217" s="3" t="s">
        <v>37</v>
      </c>
      <c r="W217" s="11" cm="1">
        <f t="array" ref="W217">IF(H217="Request","No SLA for Request", IF(F217="Emergency",B217+(4/24), WORKDAY(B217, _xlfn.IFS(F217="High", 3, F217="Normal", 5, F217="Low", 10))))</f>
        <v>44242</v>
      </c>
      <c r="X217" t="str">
        <f t="shared" si="3"/>
        <v>Yes</v>
      </c>
    </row>
    <row r="218" spans="1:24" ht="12.75" x14ac:dyDescent="0.2">
      <c r="A218" s="3">
        <v>111611</v>
      </c>
      <c r="B218" s="8">
        <v>44242.576388888891</v>
      </c>
      <c r="C218" s="3" t="s">
        <v>349</v>
      </c>
      <c r="D218" s="3" t="s">
        <v>63</v>
      </c>
      <c r="E218" s="3" t="s">
        <v>64</v>
      </c>
      <c r="F218" s="3" t="s">
        <v>124</v>
      </c>
      <c r="G218" s="3" t="s">
        <v>29</v>
      </c>
      <c r="H218" s="3" t="s">
        <v>30</v>
      </c>
      <c r="I218" s="3" t="s">
        <v>31</v>
      </c>
      <c r="J218" s="3" t="s">
        <v>32</v>
      </c>
      <c r="K218" s="8">
        <v>44249.731944444444</v>
      </c>
      <c r="L218" s="12" t="s">
        <v>576</v>
      </c>
      <c r="M218" s="3">
        <v>0</v>
      </c>
      <c r="N218" s="3">
        <v>1</v>
      </c>
      <c r="O218" s="3" t="s">
        <v>33</v>
      </c>
      <c r="P218" s="10" t="s">
        <v>576</v>
      </c>
      <c r="Q218" s="3" t="s">
        <v>34</v>
      </c>
      <c r="R218" s="3">
        <v>7</v>
      </c>
      <c r="S218" s="3">
        <v>1</v>
      </c>
      <c r="T218" s="3" t="s">
        <v>35</v>
      </c>
      <c r="U218" s="3" t="s">
        <v>36</v>
      </c>
      <c r="V218" s="3" t="s">
        <v>37</v>
      </c>
      <c r="W218" s="11" cm="1">
        <f t="array" ref="W218">IF(H218="Request","No SLA for Request", IF(F218="Emergency",B218+(4/24), WORKDAY(B218, _xlfn.IFS(F218="High", 3, F218="Normal", 5, F218="Low", 10))))</f>
        <v>44249</v>
      </c>
      <c r="X218" t="str">
        <f t="shared" si="3"/>
        <v>Yes</v>
      </c>
    </row>
    <row r="219" spans="1:24" ht="12.75" x14ac:dyDescent="0.2">
      <c r="A219" s="3">
        <v>111607</v>
      </c>
      <c r="B219" s="8">
        <v>44239.809027777781</v>
      </c>
      <c r="C219" s="3" t="s">
        <v>605</v>
      </c>
      <c r="D219" s="3" t="s">
        <v>52</v>
      </c>
      <c r="E219" s="3" t="s">
        <v>580</v>
      </c>
      <c r="F219" s="3" t="s">
        <v>124</v>
      </c>
      <c r="G219" s="3" t="s">
        <v>29</v>
      </c>
      <c r="H219" s="3" t="s">
        <v>53</v>
      </c>
      <c r="I219" s="3" t="s">
        <v>31</v>
      </c>
      <c r="J219" s="3" t="s">
        <v>32</v>
      </c>
      <c r="K219" s="8">
        <v>44246.700694444444</v>
      </c>
      <c r="L219" s="8">
        <v>44240.309027777781</v>
      </c>
      <c r="M219" s="3">
        <v>0</v>
      </c>
      <c r="N219" s="3">
        <v>1</v>
      </c>
      <c r="O219" s="3" t="s">
        <v>33</v>
      </c>
      <c r="P219" s="10" t="s">
        <v>576</v>
      </c>
      <c r="Q219" s="3" t="s">
        <v>43</v>
      </c>
      <c r="R219" s="3">
        <v>8</v>
      </c>
      <c r="S219" s="3">
        <v>3</v>
      </c>
      <c r="T219" s="3" t="s">
        <v>54</v>
      </c>
      <c r="U219" s="3" t="s">
        <v>55</v>
      </c>
      <c r="V219" s="3" t="s">
        <v>48</v>
      </c>
      <c r="W219" s="11" t="str" cm="1">
        <f t="array" ref="W219">IF(H219="Request","No SLA for Request", IF(F219="Emergency",B219+(4/24), WORKDAY(B219, _xlfn.IFS(F219="High", 3, F219="Normal", 5, F219="Low", 10))))</f>
        <v>No SLA for Request</v>
      </c>
      <c r="X219" t="str">
        <f t="shared" si="3"/>
        <v>N/A</v>
      </c>
    </row>
    <row r="220" spans="1:24" ht="12.75" x14ac:dyDescent="0.2">
      <c r="A220" s="3">
        <v>111620</v>
      </c>
      <c r="B220" s="8">
        <v>44246.629861111112</v>
      </c>
      <c r="C220" s="3" t="s">
        <v>136</v>
      </c>
      <c r="D220" s="3" t="s">
        <v>90</v>
      </c>
      <c r="E220" s="3" t="s">
        <v>91</v>
      </c>
      <c r="F220" s="3" t="s">
        <v>124</v>
      </c>
      <c r="G220" s="3" t="s">
        <v>29</v>
      </c>
      <c r="H220" s="3" t="s">
        <v>30</v>
      </c>
      <c r="I220" s="3" t="s">
        <v>31</v>
      </c>
      <c r="J220" s="3" t="s">
        <v>51</v>
      </c>
      <c r="K220" s="8">
        <v>44246.629861111112</v>
      </c>
      <c r="L220" s="8">
        <v>45159.129861111112</v>
      </c>
      <c r="M220" s="3">
        <v>0</v>
      </c>
      <c r="N220" s="3">
        <v>1</v>
      </c>
      <c r="O220" s="3" t="s">
        <v>85</v>
      </c>
      <c r="P220" s="10" t="s">
        <v>576</v>
      </c>
      <c r="Q220" s="3" t="s">
        <v>43</v>
      </c>
      <c r="R220" s="3">
        <v>2</v>
      </c>
      <c r="S220" s="3">
        <v>0</v>
      </c>
      <c r="T220" s="3" t="s">
        <v>54</v>
      </c>
      <c r="U220" s="3" t="s">
        <v>55</v>
      </c>
      <c r="V220" s="3" t="s">
        <v>37</v>
      </c>
      <c r="W220" s="11" cm="1">
        <f t="array" ref="W220">IF(H220="Request","No SLA for Request", IF(F220="Emergency",B220+(4/24), WORKDAY(B220, _xlfn.IFS(F220="High", 3, F220="Normal", 5, F220="Low", 10))))</f>
        <v>44253</v>
      </c>
      <c r="X220" t="str">
        <f t="shared" si="3"/>
        <v>No</v>
      </c>
    </row>
    <row r="221" spans="1:24" ht="12.75" x14ac:dyDescent="0.2">
      <c r="A221" s="3">
        <v>111616</v>
      </c>
      <c r="B221" s="8">
        <v>44242.664583333331</v>
      </c>
      <c r="C221" s="3" t="s">
        <v>350</v>
      </c>
      <c r="D221" s="3" t="s">
        <v>608</v>
      </c>
      <c r="E221" s="3" t="s">
        <v>609</v>
      </c>
      <c r="F221" s="3" t="s">
        <v>124</v>
      </c>
      <c r="G221" s="3" t="s">
        <v>29</v>
      </c>
      <c r="H221" s="3" t="s">
        <v>53</v>
      </c>
      <c r="I221" s="3" t="s">
        <v>31</v>
      </c>
      <c r="J221" s="3" t="s">
        <v>32</v>
      </c>
      <c r="K221" s="8">
        <v>44246.591666666667</v>
      </c>
      <c r="L221" s="8">
        <v>44243.164583333331</v>
      </c>
      <c r="M221" s="3">
        <v>0</v>
      </c>
      <c r="N221" s="3">
        <v>1</v>
      </c>
      <c r="O221" s="3" t="s">
        <v>33</v>
      </c>
      <c r="P221" s="10" t="s">
        <v>576</v>
      </c>
      <c r="Q221" s="3" t="s">
        <v>72</v>
      </c>
      <c r="R221" s="3">
        <v>5</v>
      </c>
      <c r="S221" s="3">
        <v>0</v>
      </c>
      <c r="T221" s="3" t="s">
        <v>35</v>
      </c>
      <c r="U221" s="3" t="s">
        <v>36</v>
      </c>
      <c r="V221" s="3" t="s">
        <v>48</v>
      </c>
      <c r="W221" s="11" t="str" cm="1">
        <f t="array" ref="W221">IF(H221="Request","No SLA for Request", IF(F221="Emergency",B221+(4/24), WORKDAY(B221, _xlfn.IFS(F221="High", 3, F221="Normal", 5, F221="Low", 10))))</f>
        <v>No SLA for Request</v>
      </c>
      <c r="X221" t="str">
        <f t="shared" si="3"/>
        <v>N/A</v>
      </c>
    </row>
    <row r="222" spans="1:24" ht="12.75" x14ac:dyDescent="0.2">
      <c r="A222" s="3">
        <v>111618</v>
      </c>
      <c r="B222" s="8">
        <v>44242.713194444441</v>
      </c>
      <c r="C222" s="3" t="s">
        <v>351</v>
      </c>
      <c r="D222" s="3" t="s">
        <v>49</v>
      </c>
      <c r="E222" s="3" t="s">
        <v>50</v>
      </c>
      <c r="F222" s="3" t="s">
        <v>124</v>
      </c>
      <c r="G222" s="3" t="s">
        <v>29</v>
      </c>
      <c r="H222" s="3" t="s">
        <v>30</v>
      </c>
      <c r="I222" s="3" t="s">
        <v>31</v>
      </c>
      <c r="J222" s="3" t="s">
        <v>51</v>
      </c>
      <c r="K222" s="8">
        <v>44242.713194444441</v>
      </c>
      <c r="L222" s="8">
        <v>45155.213194444441</v>
      </c>
      <c r="M222" s="3">
        <v>0</v>
      </c>
      <c r="N222" s="3">
        <v>1</v>
      </c>
      <c r="O222" s="3" t="s">
        <v>85</v>
      </c>
      <c r="P222" s="10" t="s">
        <v>576</v>
      </c>
      <c r="Q222" s="3" t="s">
        <v>34</v>
      </c>
      <c r="R222" s="3">
        <v>2</v>
      </c>
      <c r="S222" s="3">
        <v>1</v>
      </c>
      <c r="T222" s="3" t="s">
        <v>54</v>
      </c>
      <c r="U222" s="3" t="s">
        <v>55</v>
      </c>
      <c r="V222" s="3" t="s">
        <v>37</v>
      </c>
      <c r="W222" s="11" cm="1">
        <f t="array" ref="W222">IF(H222="Request","No SLA for Request", IF(F222="Emergency",B222+(4/24), WORKDAY(B222, _xlfn.IFS(F222="High", 3, F222="Normal", 5, F222="Low", 10))))</f>
        <v>44249</v>
      </c>
      <c r="X222" t="str">
        <f t="shared" si="3"/>
        <v>No</v>
      </c>
    </row>
    <row r="223" spans="1:24" ht="12.75" x14ac:dyDescent="0.2">
      <c r="A223" s="3">
        <v>111593</v>
      </c>
      <c r="B223" s="8">
        <v>44215.979861111111</v>
      </c>
      <c r="C223" s="3" t="s">
        <v>137</v>
      </c>
      <c r="D223" s="3" t="s">
        <v>49</v>
      </c>
      <c r="E223" s="3" t="s">
        <v>50</v>
      </c>
      <c r="F223" s="3" t="s">
        <v>124</v>
      </c>
      <c r="G223" s="3" t="s">
        <v>29</v>
      </c>
      <c r="H223" s="3" t="s">
        <v>30</v>
      </c>
      <c r="I223" s="3" t="s">
        <v>31</v>
      </c>
      <c r="J223" s="3" t="s">
        <v>32</v>
      </c>
      <c r="K223" s="8">
        <v>44238.711111111108</v>
      </c>
      <c r="L223" s="8">
        <v>44216.479861111111</v>
      </c>
      <c r="M223" s="3">
        <v>0</v>
      </c>
      <c r="N223" s="3">
        <v>1</v>
      </c>
      <c r="O223" s="3" t="s">
        <v>33</v>
      </c>
      <c r="P223" s="10" t="s">
        <v>576</v>
      </c>
      <c r="Q223" s="3" t="s">
        <v>34</v>
      </c>
      <c r="R223" s="3">
        <v>14</v>
      </c>
      <c r="S223" s="3">
        <v>1</v>
      </c>
      <c r="T223" s="3" t="s">
        <v>35</v>
      </c>
      <c r="U223" s="3" t="s">
        <v>36</v>
      </c>
      <c r="V223" s="3" t="s">
        <v>48</v>
      </c>
      <c r="W223" s="11" cm="1">
        <f t="array" ref="W223">IF(H223="Request","No SLA for Request", IF(F223="Emergency",B223+(4/24), WORKDAY(B223, _xlfn.IFS(F223="High", 3, F223="Normal", 5, F223="Low", 10))))</f>
        <v>44222</v>
      </c>
      <c r="X223" t="str">
        <f t="shared" si="3"/>
        <v>Yes</v>
      </c>
    </row>
    <row r="224" spans="1:24" ht="12.75" x14ac:dyDescent="0.2">
      <c r="A224" s="3">
        <v>111600</v>
      </c>
      <c r="B224" s="8">
        <v>44224.706250000003</v>
      </c>
      <c r="C224" s="3" t="s">
        <v>138</v>
      </c>
      <c r="D224" s="3" t="s">
        <v>49</v>
      </c>
      <c r="E224" s="3" t="s">
        <v>50</v>
      </c>
      <c r="F224" s="3" t="s">
        <v>124</v>
      </c>
      <c r="G224" s="3" t="s">
        <v>29</v>
      </c>
      <c r="H224" s="3" t="s">
        <v>53</v>
      </c>
      <c r="I224" s="3" t="s">
        <v>31</v>
      </c>
      <c r="J224" s="3" t="s">
        <v>32</v>
      </c>
      <c r="K224" s="8">
        <v>44232.736805555556</v>
      </c>
      <c r="L224" s="8">
        <v>44225.206250000003</v>
      </c>
      <c r="M224" s="3">
        <v>0</v>
      </c>
      <c r="N224" s="3">
        <v>1</v>
      </c>
      <c r="O224" s="3" t="s">
        <v>33</v>
      </c>
      <c r="P224" s="10" t="s">
        <v>576</v>
      </c>
      <c r="Q224" s="3" t="s">
        <v>34</v>
      </c>
      <c r="R224" s="3">
        <v>9</v>
      </c>
      <c r="S224" s="3">
        <v>2</v>
      </c>
      <c r="T224" s="3" t="s">
        <v>35</v>
      </c>
      <c r="U224" s="3" t="s">
        <v>36</v>
      </c>
      <c r="V224" s="3" t="s">
        <v>37</v>
      </c>
      <c r="W224" s="11" t="str" cm="1">
        <f t="array" ref="W224">IF(H224="Request","No SLA for Request", IF(F224="Emergency",B224+(4/24), WORKDAY(B224, _xlfn.IFS(F224="High", 3, F224="Normal", 5, F224="Low", 10))))</f>
        <v>No SLA for Request</v>
      </c>
      <c r="X224" t="str">
        <f t="shared" si="3"/>
        <v>N/A</v>
      </c>
    </row>
    <row r="225" spans="1:24" ht="12.75" x14ac:dyDescent="0.2">
      <c r="A225" s="3">
        <v>111546</v>
      </c>
      <c r="B225" s="8">
        <v>44143.85</v>
      </c>
      <c r="C225" s="3" t="s">
        <v>352</v>
      </c>
      <c r="D225" s="3" t="s">
        <v>139</v>
      </c>
      <c r="E225" s="3" t="s">
        <v>610</v>
      </c>
      <c r="F225" s="3" t="s">
        <v>124</v>
      </c>
      <c r="G225" s="3" t="s">
        <v>577</v>
      </c>
      <c r="H225" s="3" t="s">
        <v>53</v>
      </c>
      <c r="I225" s="3" t="s">
        <v>61</v>
      </c>
      <c r="J225" s="3" t="s">
        <v>32</v>
      </c>
      <c r="K225" s="8">
        <v>44232.709722222222</v>
      </c>
      <c r="L225" s="8">
        <v>44144.35</v>
      </c>
      <c r="M225" s="3">
        <v>0</v>
      </c>
      <c r="N225" s="3">
        <v>1</v>
      </c>
      <c r="O225" s="3" t="s">
        <v>33</v>
      </c>
      <c r="P225" s="10" t="s">
        <v>576</v>
      </c>
      <c r="Q225" s="3" t="s">
        <v>46</v>
      </c>
      <c r="R225" s="3">
        <v>5</v>
      </c>
      <c r="S225" s="3">
        <v>0</v>
      </c>
      <c r="T225" s="3" t="s">
        <v>54</v>
      </c>
      <c r="U225" s="3" t="s">
        <v>55</v>
      </c>
      <c r="V225" s="3" t="s">
        <v>37</v>
      </c>
      <c r="W225" s="11" t="str" cm="1">
        <f t="array" ref="W225">IF(H225="Request","No SLA for Request", IF(F225="Emergency",B225+(4/24), WORKDAY(B225, _xlfn.IFS(F225="High", 3, F225="Normal", 5, F225="Low", 10))))</f>
        <v>No SLA for Request</v>
      </c>
      <c r="X225" t="str">
        <f t="shared" si="3"/>
        <v>N/A</v>
      </c>
    </row>
    <row r="226" spans="1:24" ht="12.75" x14ac:dyDescent="0.2">
      <c r="A226" s="3">
        <v>111562</v>
      </c>
      <c r="B226" s="8">
        <v>44158.397916666669</v>
      </c>
      <c r="C226" s="3" t="s">
        <v>353</v>
      </c>
      <c r="D226" s="3" t="s">
        <v>140</v>
      </c>
      <c r="E226" s="3" t="s">
        <v>611</v>
      </c>
      <c r="F226" s="3" t="s">
        <v>124</v>
      </c>
      <c r="G226" s="3" t="s">
        <v>577</v>
      </c>
      <c r="H226" s="3" t="s">
        <v>53</v>
      </c>
      <c r="I226" s="3" t="s">
        <v>68</v>
      </c>
      <c r="J226" s="3" t="s">
        <v>32</v>
      </c>
      <c r="K226" s="8">
        <v>44232.708333333336</v>
      </c>
      <c r="L226" s="8">
        <v>44158.897916666669</v>
      </c>
      <c r="M226" s="3">
        <v>0</v>
      </c>
      <c r="N226" s="3">
        <v>1</v>
      </c>
      <c r="O226" s="3" t="s">
        <v>33</v>
      </c>
      <c r="P226" s="10" t="s">
        <v>576</v>
      </c>
      <c r="Q226" s="3" t="s">
        <v>46</v>
      </c>
      <c r="R226" s="3">
        <v>6</v>
      </c>
      <c r="S226" s="3">
        <v>1</v>
      </c>
      <c r="T226" s="3" t="s">
        <v>54</v>
      </c>
      <c r="U226" s="3" t="s">
        <v>55</v>
      </c>
      <c r="V226" s="3" t="s">
        <v>37</v>
      </c>
      <c r="W226" s="11" t="str" cm="1">
        <f t="array" ref="W226">IF(H226="Request","No SLA for Request", IF(F226="Emergency",B226+(4/24), WORKDAY(B226, _xlfn.IFS(F226="High", 3, F226="Normal", 5, F226="Low", 10))))</f>
        <v>No SLA for Request</v>
      </c>
      <c r="X226" t="str">
        <f t="shared" si="3"/>
        <v>N/A</v>
      </c>
    </row>
    <row r="227" spans="1:24" ht="12.75" x14ac:dyDescent="0.2">
      <c r="A227" s="3">
        <v>111518</v>
      </c>
      <c r="B227" s="8">
        <v>44109.62222222222</v>
      </c>
      <c r="C227" s="3" t="s">
        <v>354</v>
      </c>
      <c r="D227" s="3" t="s">
        <v>47</v>
      </c>
      <c r="E227" s="3" t="s">
        <v>578</v>
      </c>
      <c r="F227" s="3" t="s">
        <v>124</v>
      </c>
      <c r="G227" s="3" t="s">
        <v>29</v>
      </c>
      <c r="H227" s="3" t="s">
        <v>30</v>
      </c>
      <c r="I227" s="3" t="s">
        <v>31</v>
      </c>
      <c r="J227" s="3" t="s">
        <v>32</v>
      </c>
      <c r="K227" s="8">
        <v>44229.709027777775</v>
      </c>
      <c r="L227" s="8">
        <v>44110.12222222222</v>
      </c>
      <c r="M227" s="3">
        <v>0</v>
      </c>
      <c r="N227" s="3">
        <v>1</v>
      </c>
      <c r="O227" s="3" t="s">
        <v>33</v>
      </c>
      <c r="P227" s="10" t="s">
        <v>576</v>
      </c>
      <c r="Q227" s="3" t="s">
        <v>43</v>
      </c>
      <c r="R227" s="3">
        <v>64</v>
      </c>
      <c r="S227" s="3">
        <v>3</v>
      </c>
      <c r="T227" s="3" t="s">
        <v>54</v>
      </c>
      <c r="U227" s="3" t="s">
        <v>55</v>
      </c>
      <c r="V227" s="3" t="s">
        <v>48</v>
      </c>
      <c r="W227" s="11" cm="1">
        <f t="array" ref="W227">IF(H227="Request","No SLA for Request", IF(F227="Emergency",B227+(4/24), WORKDAY(B227, _xlfn.IFS(F227="High", 3, F227="Normal", 5, F227="Low", 10))))</f>
        <v>44116</v>
      </c>
      <c r="X227" t="str">
        <f t="shared" si="3"/>
        <v>Yes</v>
      </c>
    </row>
    <row r="228" spans="1:24" ht="12.75" x14ac:dyDescent="0.2">
      <c r="A228" s="3">
        <v>111603</v>
      </c>
      <c r="B228" s="8">
        <v>44225.484027777777</v>
      </c>
      <c r="C228" s="3" t="s">
        <v>355</v>
      </c>
      <c r="D228" s="3" t="s">
        <v>63</v>
      </c>
      <c r="E228" s="3" t="s">
        <v>64</v>
      </c>
      <c r="F228" s="3" t="s">
        <v>124</v>
      </c>
      <c r="G228" s="3" t="s">
        <v>29</v>
      </c>
      <c r="H228" s="3" t="s">
        <v>30</v>
      </c>
      <c r="I228" s="3" t="s">
        <v>31</v>
      </c>
      <c r="J228" s="3" t="s">
        <v>51</v>
      </c>
      <c r="K228" s="8">
        <v>44225.484027777777</v>
      </c>
      <c r="L228" s="8">
        <v>44230.484027777777</v>
      </c>
      <c r="M228" s="3">
        <v>1</v>
      </c>
      <c r="N228" s="3">
        <v>1</v>
      </c>
      <c r="O228" s="3" t="s">
        <v>85</v>
      </c>
      <c r="P228" s="10" t="s">
        <v>576</v>
      </c>
      <c r="Q228" s="3" t="s">
        <v>34</v>
      </c>
      <c r="R228" s="3">
        <v>2</v>
      </c>
      <c r="S228" s="3">
        <v>1</v>
      </c>
      <c r="T228" s="3" t="s">
        <v>35</v>
      </c>
      <c r="U228" s="3" t="s">
        <v>36</v>
      </c>
      <c r="V228" s="3" t="s">
        <v>37</v>
      </c>
      <c r="W228" s="11" cm="1">
        <f t="array" ref="W228">IF(H228="Request","No SLA for Request", IF(F228="Emergency",B228+(4/24), WORKDAY(B228, _xlfn.IFS(F228="High", 3, F228="Normal", 5, F228="Low", 10))))</f>
        <v>44232</v>
      </c>
      <c r="X228" t="str">
        <f t="shared" si="3"/>
        <v>No</v>
      </c>
    </row>
    <row r="229" spans="1:24" ht="12.75" x14ac:dyDescent="0.2">
      <c r="A229" s="3">
        <v>111582</v>
      </c>
      <c r="B229" s="8">
        <v>44183.597916666666</v>
      </c>
      <c r="C229" s="3" t="s">
        <v>356</v>
      </c>
      <c r="D229" s="3" t="s">
        <v>63</v>
      </c>
      <c r="E229" s="3" t="s">
        <v>64</v>
      </c>
      <c r="F229" s="3" t="s">
        <v>124</v>
      </c>
      <c r="G229" s="3" t="s">
        <v>29</v>
      </c>
      <c r="H229" s="3" t="s">
        <v>30</v>
      </c>
      <c r="I229" s="3" t="s">
        <v>31</v>
      </c>
      <c r="J229" s="3" t="s">
        <v>32</v>
      </c>
      <c r="K229" s="8">
        <v>44221.754166666666</v>
      </c>
      <c r="L229" s="8">
        <v>44184.097916666666</v>
      </c>
      <c r="M229" s="3">
        <v>0</v>
      </c>
      <c r="N229" s="3">
        <v>1</v>
      </c>
      <c r="O229" s="3" t="s">
        <v>33</v>
      </c>
      <c r="P229" s="10" t="s">
        <v>576</v>
      </c>
      <c r="Q229" s="3" t="s">
        <v>34</v>
      </c>
      <c r="R229" s="3">
        <v>10</v>
      </c>
      <c r="S229" s="3">
        <v>2</v>
      </c>
      <c r="T229" s="3" t="s">
        <v>35</v>
      </c>
      <c r="U229" s="3" t="s">
        <v>36</v>
      </c>
      <c r="V229" s="3" t="s">
        <v>37</v>
      </c>
      <c r="W229" s="11" cm="1">
        <f t="array" ref="W229">IF(H229="Request","No SLA for Request", IF(F229="Emergency",B229+(4/24), WORKDAY(B229, _xlfn.IFS(F229="High", 3, F229="Normal", 5, F229="Low", 10))))</f>
        <v>44190</v>
      </c>
      <c r="X229" t="str">
        <f t="shared" si="3"/>
        <v>Yes</v>
      </c>
    </row>
    <row r="230" spans="1:24" ht="12.75" x14ac:dyDescent="0.2">
      <c r="A230" s="3">
        <v>111557</v>
      </c>
      <c r="B230" s="8">
        <v>44153.848611111112</v>
      </c>
      <c r="C230" s="3" t="s">
        <v>357</v>
      </c>
      <c r="D230" s="3" t="s">
        <v>603</v>
      </c>
      <c r="E230" s="3" t="s">
        <v>604</v>
      </c>
      <c r="F230" s="3" t="s">
        <v>124</v>
      </c>
      <c r="G230" s="3" t="s">
        <v>29</v>
      </c>
      <c r="H230" s="3" t="s">
        <v>53</v>
      </c>
      <c r="I230" s="3" t="s">
        <v>31</v>
      </c>
      <c r="J230" s="3" t="s">
        <v>32</v>
      </c>
      <c r="K230" s="8">
        <v>44221.747916666667</v>
      </c>
      <c r="L230" s="8">
        <v>44154.348611111112</v>
      </c>
      <c r="M230" s="3">
        <v>0</v>
      </c>
      <c r="N230" s="3">
        <v>1</v>
      </c>
      <c r="O230" s="3" t="s">
        <v>33</v>
      </c>
      <c r="P230" s="10" t="s">
        <v>576</v>
      </c>
      <c r="Q230" s="3" t="s">
        <v>34</v>
      </c>
      <c r="R230" s="3">
        <v>15</v>
      </c>
      <c r="S230" s="3">
        <v>1</v>
      </c>
      <c r="T230" s="3" t="s">
        <v>35</v>
      </c>
      <c r="U230" s="3" t="s">
        <v>36</v>
      </c>
      <c r="V230" s="3" t="s">
        <v>37</v>
      </c>
      <c r="W230" s="11" t="str" cm="1">
        <f t="array" ref="W230">IF(H230="Request","No SLA for Request", IF(F230="Emergency",B230+(4/24), WORKDAY(B230, _xlfn.IFS(F230="High", 3, F230="Normal", 5, F230="Low", 10))))</f>
        <v>No SLA for Request</v>
      </c>
      <c r="X230" t="str">
        <f t="shared" si="3"/>
        <v>N/A</v>
      </c>
    </row>
    <row r="231" spans="1:24" ht="12.75" x14ac:dyDescent="0.2">
      <c r="A231" s="3">
        <v>111598</v>
      </c>
      <c r="B231" s="8">
        <v>44221.713194444441</v>
      </c>
      <c r="C231" s="3" t="s">
        <v>612</v>
      </c>
      <c r="D231" s="3" t="s">
        <v>47</v>
      </c>
      <c r="E231" s="3" t="s">
        <v>578</v>
      </c>
      <c r="F231" s="3" t="s">
        <v>124</v>
      </c>
      <c r="G231" s="3" t="s">
        <v>29</v>
      </c>
      <c r="H231" s="3" t="s">
        <v>53</v>
      </c>
      <c r="I231" s="3" t="s">
        <v>31</v>
      </c>
      <c r="J231" s="3" t="s">
        <v>51</v>
      </c>
      <c r="K231" s="8">
        <v>44221.713194444441</v>
      </c>
      <c r="L231" s="8">
        <v>45134.213194444441</v>
      </c>
      <c r="M231" s="3">
        <v>0</v>
      </c>
      <c r="N231" s="3">
        <v>1</v>
      </c>
      <c r="O231" s="3" t="s">
        <v>85</v>
      </c>
      <c r="P231" s="10" t="s">
        <v>576</v>
      </c>
      <c r="Q231" s="3" t="s">
        <v>43</v>
      </c>
      <c r="R231" s="3">
        <v>2</v>
      </c>
      <c r="S231" s="3">
        <v>2</v>
      </c>
      <c r="T231" s="3" t="s">
        <v>54</v>
      </c>
      <c r="U231" s="3" t="s">
        <v>55</v>
      </c>
      <c r="V231" s="3" t="s">
        <v>37</v>
      </c>
      <c r="W231" s="11" t="str" cm="1">
        <f t="array" ref="W231">IF(H231="Request","No SLA for Request", IF(F231="Emergency",B231+(4/24), WORKDAY(B231, _xlfn.IFS(F231="High", 3, F231="Normal", 5, F231="Low", 10))))</f>
        <v>No SLA for Request</v>
      </c>
      <c r="X231" t="str">
        <f t="shared" si="3"/>
        <v>N/A</v>
      </c>
    </row>
    <row r="232" spans="1:24" ht="12.75" x14ac:dyDescent="0.2">
      <c r="A232" s="3">
        <v>111592</v>
      </c>
      <c r="B232" s="8">
        <v>44211.317361111112</v>
      </c>
      <c r="C232" s="3" t="s">
        <v>358</v>
      </c>
      <c r="D232" s="3" t="s">
        <v>39</v>
      </c>
      <c r="E232" s="3" t="s">
        <v>40</v>
      </c>
      <c r="F232" s="3" t="s">
        <v>124</v>
      </c>
      <c r="G232" s="3" t="s">
        <v>577</v>
      </c>
      <c r="H232" s="3" t="s">
        <v>53</v>
      </c>
      <c r="I232" s="3" t="s">
        <v>31</v>
      </c>
      <c r="J232" s="3" t="s">
        <v>32</v>
      </c>
      <c r="K232" s="8">
        <v>44218.668055555558</v>
      </c>
      <c r="L232" s="8">
        <v>44211.817361111112</v>
      </c>
      <c r="M232" s="3">
        <v>0</v>
      </c>
      <c r="N232" s="3">
        <v>1</v>
      </c>
      <c r="O232" s="3" t="s">
        <v>33</v>
      </c>
      <c r="P232" s="10" t="s">
        <v>576</v>
      </c>
      <c r="Q232" s="3" t="s">
        <v>77</v>
      </c>
      <c r="R232" s="3">
        <v>5</v>
      </c>
      <c r="S232" s="3">
        <v>0</v>
      </c>
      <c r="T232" s="3" t="s">
        <v>35</v>
      </c>
      <c r="U232" s="3" t="s">
        <v>36</v>
      </c>
      <c r="V232" s="3" t="s">
        <v>37</v>
      </c>
      <c r="W232" s="11" t="str" cm="1">
        <f t="array" ref="W232">IF(H232="Request","No SLA for Request", IF(F232="Emergency",B232+(4/24), WORKDAY(B232, _xlfn.IFS(F232="High", 3, F232="Normal", 5, F232="Low", 10))))</f>
        <v>No SLA for Request</v>
      </c>
      <c r="X232" t="str">
        <f t="shared" si="3"/>
        <v>N/A</v>
      </c>
    </row>
    <row r="233" spans="1:24" ht="12.75" x14ac:dyDescent="0.2">
      <c r="A233" s="3">
        <v>111595</v>
      </c>
      <c r="B233" s="8">
        <v>44218.426388888889</v>
      </c>
      <c r="C233" s="3" t="s">
        <v>359</v>
      </c>
      <c r="D233" s="3" t="s">
        <v>39</v>
      </c>
      <c r="E233" s="3" t="s">
        <v>40</v>
      </c>
      <c r="F233" s="3" t="s">
        <v>124</v>
      </c>
      <c r="G233" s="3" t="s">
        <v>577</v>
      </c>
      <c r="H233" s="3" t="s">
        <v>30</v>
      </c>
      <c r="I233" s="3" t="s">
        <v>31</v>
      </c>
      <c r="J233" s="3" t="s">
        <v>51</v>
      </c>
      <c r="K233" s="8">
        <v>44218.426388888889</v>
      </c>
      <c r="L233" s="8">
        <v>44218.926388888889</v>
      </c>
      <c r="M233" s="3">
        <v>1</v>
      </c>
      <c r="N233" s="3">
        <v>1</v>
      </c>
      <c r="O233" s="3" t="s">
        <v>85</v>
      </c>
      <c r="P233" s="10" t="s">
        <v>576</v>
      </c>
      <c r="Q233" s="3" t="s">
        <v>77</v>
      </c>
      <c r="R233" s="3">
        <v>3</v>
      </c>
      <c r="S233" s="3">
        <v>0</v>
      </c>
      <c r="T233" s="3" t="s">
        <v>54</v>
      </c>
      <c r="U233" s="3" t="s">
        <v>62</v>
      </c>
      <c r="V233" s="3" t="s">
        <v>37</v>
      </c>
      <c r="W233" s="11" cm="1">
        <f t="array" ref="W233">IF(H233="Request","No SLA for Request", IF(F233="Emergency",B233+(4/24), WORKDAY(B233, _xlfn.IFS(F233="High", 3, F233="Normal", 5, F233="Low", 10))))</f>
        <v>44225</v>
      </c>
      <c r="X233" t="str">
        <f t="shared" si="3"/>
        <v>No</v>
      </c>
    </row>
    <row r="234" spans="1:24" ht="12.75" x14ac:dyDescent="0.2">
      <c r="A234" s="3">
        <v>111594</v>
      </c>
      <c r="B234" s="8">
        <v>44217.367361111108</v>
      </c>
      <c r="C234" s="3" t="s">
        <v>360</v>
      </c>
      <c r="D234" s="3" t="s">
        <v>101</v>
      </c>
      <c r="E234" s="3" t="s">
        <v>585</v>
      </c>
      <c r="F234" s="3" t="s">
        <v>124</v>
      </c>
      <c r="G234" s="3" t="s">
        <v>577</v>
      </c>
      <c r="H234" s="3" t="s">
        <v>30</v>
      </c>
      <c r="I234" s="3" t="s">
        <v>68</v>
      </c>
      <c r="J234" s="3" t="s">
        <v>51</v>
      </c>
      <c r="K234" s="8">
        <v>44217.367361111108</v>
      </c>
      <c r="L234" s="8">
        <v>44217.867361111108</v>
      </c>
      <c r="M234" s="3">
        <v>1</v>
      </c>
      <c r="N234" s="3">
        <v>1</v>
      </c>
      <c r="O234" s="3" t="s">
        <v>85</v>
      </c>
      <c r="P234" s="10" t="s">
        <v>576</v>
      </c>
      <c r="Q234" s="3" t="s">
        <v>46</v>
      </c>
      <c r="R234" s="3">
        <v>2</v>
      </c>
      <c r="S234" s="3">
        <v>0</v>
      </c>
      <c r="T234" s="3" t="s">
        <v>54</v>
      </c>
      <c r="U234" s="3" t="s">
        <v>55</v>
      </c>
      <c r="V234" s="3" t="s">
        <v>37</v>
      </c>
      <c r="W234" s="11" cm="1">
        <f t="array" ref="W234">IF(H234="Request","No SLA for Request", IF(F234="Emergency",B234+(4/24), WORKDAY(B234, _xlfn.IFS(F234="High", 3, F234="Normal", 5, F234="Low", 10))))</f>
        <v>44224</v>
      </c>
      <c r="X234" t="str">
        <f t="shared" si="3"/>
        <v>No</v>
      </c>
    </row>
    <row r="235" spans="1:24" ht="12.75" x14ac:dyDescent="0.2">
      <c r="A235" s="3">
        <v>111558</v>
      </c>
      <c r="B235" s="8">
        <v>44153.874305555553</v>
      </c>
      <c r="C235" s="3" t="s">
        <v>361</v>
      </c>
      <c r="D235" s="3" t="s">
        <v>49</v>
      </c>
      <c r="E235" s="3" t="s">
        <v>50</v>
      </c>
      <c r="F235" s="3" t="s">
        <v>124</v>
      </c>
      <c r="G235" s="3" t="s">
        <v>29</v>
      </c>
      <c r="H235" s="3" t="s">
        <v>53</v>
      </c>
      <c r="I235" s="3" t="s">
        <v>31</v>
      </c>
      <c r="J235" s="3" t="s">
        <v>32</v>
      </c>
      <c r="K235" s="8">
        <v>44211.695833333331</v>
      </c>
      <c r="L235" s="8">
        <v>44154.374305555553</v>
      </c>
      <c r="M235" s="3">
        <v>0</v>
      </c>
      <c r="N235" s="3">
        <v>1</v>
      </c>
      <c r="O235" s="3" t="s">
        <v>33</v>
      </c>
      <c r="P235" s="10" t="s">
        <v>576</v>
      </c>
      <c r="Q235" s="3" t="s">
        <v>34</v>
      </c>
      <c r="R235" s="3">
        <v>8</v>
      </c>
      <c r="S235" s="3">
        <v>2</v>
      </c>
      <c r="T235" s="3" t="s">
        <v>54</v>
      </c>
      <c r="U235" s="3" t="s">
        <v>62</v>
      </c>
      <c r="V235" s="3" t="s">
        <v>37</v>
      </c>
      <c r="W235" s="11" t="str" cm="1">
        <f t="array" ref="W235">IF(H235="Request","No SLA for Request", IF(F235="Emergency",B235+(4/24), WORKDAY(B235, _xlfn.IFS(F235="High", 3, F235="Normal", 5, F235="Low", 10))))</f>
        <v>No SLA for Request</v>
      </c>
      <c r="X235" t="str">
        <f t="shared" si="3"/>
        <v>N/A</v>
      </c>
    </row>
    <row r="236" spans="1:24" ht="12.75" x14ac:dyDescent="0.2">
      <c r="A236" s="3">
        <v>111561</v>
      </c>
      <c r="B236" s="8">
        <v>44155.667361111111</v>
      </c>
      <c r="C236" s="3" t="s">
        <v>141</v>
      </c>
      <c r="D236" s="3" t="s">
        <v>142</v>
      </c>
      <c r="E236" s="3" t="s">
        <v>613</v>
      </c>
      <c r="F236" s="3" t="s">
        <v>124</v>
      </c>
      <c r="G236" s="3" t="s">
        <v>577</v>
      </c>
      <c r="H236" s="3" t="s">
        <v>30</v>
      </c>
      <c r="I236" s="3" t="s">
        <v>68</v>
      </c>
      <c r="J236" s="3" t="s">
        <v>32</v>
      </c>
      <c r="K236" s="8">
        <v>44204.712500000001</v>
      </c>
      <c r="L236" s="8">
        <v>44156.167361111111</v>
      </c>
      <c r="M236" s="3">
        <v>0</v>
      </c>
      <c r="N236" s="3">
        <v>1</v>
      </c>
      <c r="O236" s="3" t="s">
        <v>33</v>
      </c>
      <c r="P236" s="10" t="s">
        <v>576</v>
      </c>
      <c r="Q236" s="3" t="s">
        <v>46</v>
      </c>
      <c r="R236" s="3">
        <v>4</v>
      </c>
      <c r="S236" s="3">
        <v>0</v>
      </c>
      <c r="T236" s="3" t="s">
        <v>54</v>
      </c>
      <c r="U236" s="3" t="s">
        <v>55</v>
      </c>
      <c r="V236" s="3" t="s">
        <v>37</v>
      </c>
      <c r="W236" s="11" cm="1">
        <f t="array" ref="W236">IF(H236="Request","No SLA for Request", IF(F236="Emergency",B236+(4/24), WORKDAY(B236, _xlfn.IFS(F236="High", 3, F236="Normal", 5, F236="Low", 10))))</f>
        <v>44162</v>
      </c>
      <c r="X236" t="str">
        <f t="shared" si="3"/>
        <v>Yes</v>
      </c>
    </row>
    <row r="237" spans="1:24" ht="12.75" x14ac:dyDescent="0.2">
      <c r="A237" s="3">
        <v>111585</v>
      </c>
      <c r="B237" s="8">
        <v>44188.574305555558</v>
      </c>
      <c r="C237" s="3" t="s">
        <v>362</v>
      </c>
      <c r="D237" s="3" t="s">
        <v>63</v>
      </c>
      <c r="E237" s="3" t="s">
        <v>64</v>
      </c>
      <c r="F237" s="3" t="s">
        <v>124</v>
      </c>
      <c r="G237" s="3" t="s">
        <v>29</v>
      </c>
      <c r="H237" s="3" t="s">
        <v>53</v>
      </c>
      <c r="I237" s="3" t="s">
        <v>31</v>
      </c>
      <c r="J237" s="3" t="s">
        <v>32</v>
      </c>
      <c r="K237" s="8">
        <v>44201.713194444441</v>
      </c>
      <c r="L237" s="8">
        <v>44189.074305555558</v>
      </c>
      <c r="M237" s="3">
        <v>0</v>
      </c>
      <c r="N237" s="3">
        <v>1</v>
      </c>
      <c r="O237" s="3" t="s">
        <v>33</v>
      </c>
      <c r="P237" s="10" t="s">
        <v>576</v>
      </c>
      <c r="Q237" s="3" t="s">
        <v>72</v>
      </c>
      <c r="R237" s="3">
        <v>11</v>
      </c>
      <c r="S237" s="3">
        <v>0</v>
      </c>
      <c r="T237" s="3" t="s">
        <v>54</v>
      </c>
      <c r="U237" s="3" t="s">
        <v>62</v>
      </c>
      <c r="V237" s="3" t="s">
        <v>37</v>
      </c>
      <c r="W237" s="11" t="str" cm="1">
        <f t="array" ref="W237">IF(H237="Request","No SLA for Request", IF(F237="Emergency",B237+(4/24), WORKDAY(B237, _xlfn.IFS(F237="High", 3, F237="Normal", 5, F237="Low", 10))))</f>
        <v>No SLA for Request</v>
      </c>
      <c r="X237" t="str">
        <f t="shared" si="3"/>
        <v>N/A</v>
      </c>
    </row>
    <row r="238" spans="1:24" ht="12.75" x14ac:dyDescent="0.2">
      <c r="A238" s="3">
        <v>111584</v>
      </c>
      <c r="B238" s="8">
        <v>44187.628472222219</v>
      </c>
      <c r="C238" s="3" t="s">
        <v>363</v>
      </c>
      <c r="D238" s="3" t="s">
        <v>49</v>
      </c>
      <c r="E238" s="3" t="s">
        <v>50</v>
      </c>
      <c r="F238" s="3" t="s">
        <v>124</v>
      </c>
      <c r="G238" s="3" t="s">
        <v>29</v>
      </c>
      <c r="H238" s="3" t="s">
        <v>53</v>
      </c>
      <c r="I238" s="3" t="s">
        <v>31</v>
      </c>
      <c r="J238" s="3" t="s">
        <v>32</v>
      </c>
      <c r="K238" s="8">
        <v>44201.685416666667</v>
      </c>
      <c r="L238" s="8">
        <v>44188.128472222219</v>
      </c>
      <c r="M238" s="3">
        <v>0</v>
      </c>
      <c r="N238" s="3">
        <v>1</v>
      </c>
      <c r="O238" s="3" t="s">
        <v>33</v>
      </c>
      <c r="P238" s="10" t="s">
        <v>576</v>
      </c>
      <c r="Q238" s="3" t="s">
        <v>34</v>
      </c>
      <c r="R238" s="3">
        <v>5</v>
      </c>
      <c r="S238" s="3">
        <v>0</v>
      </c>
      <c r="T238" s="3" t="s">
        <v>35</v>
      </c>
      <c r="U238" s="3" t="s">
        <v>36</v>
      </c>
      <c r="V238" s="3" t="s">
        <v>48</v>
      </c>
      <c r="W238" s="11" t="str" cm="1">
        <f t="array" ref="W238">IF(H238="Request","No SLA for Request", IF(F238="Emergency",B238+(4/24), WORKDAY(B238, _xlfn.IFS(F238="High", 3, F238="Normal", 5, F238="Low", 10))))</f>
        <v>No SLA for Request</v>
      </c>
      <c r="X238" t="str">
        <f t="shared" si="3"/>
        <v>N/A</v>
      </c>
    </row>
    <row r="239" spans="1:24" ht="12.75" x14ac:dyDescent="0.2">
      <c r="A239" s="3">
        <v>111580</v>
      </c>
      <c r="B239" s="8">
        <v>44179.786111111112</v>
      </c>
      <c r="C239" s="3" t="s">
        <v>364</v>
      </c>
      <c r="D239" s="3" t="s">
        <v>49</v>
      </c>
      <c r="E239" s="3" t="s">
        <v>50</v>
      </c>
      <c r="F239" s="3" t="s">
        <v>124</v>
      </c>
      <c r="G239" s="3" t="s">
        <v>29</v>
      </c>
      <c r="H239" s="3" t="s">
        <v>30</v>
      </c>
      <c r="I239" s="3" t="s">
        <v>31</v>
      </c>
      <c r="J239" s="3" t="s">
        <v>32</v>
      </c>
      <c r="K239" s="8">
        <v>44187.717361111114</v>
      </c>
      <c r="L239" s="8">
        <v>44180.286111111112</v>
      </c>
      <c r="M239" s="3">
        <v>0</v>
      </c>
      <c r="N239" s="3">
        <v>1</v>
      </c>
      <c r="O239" s="3" t="s">
        <v>33</v>
      </c>
      <c r="P239" s="10" t="s">
        <v>576</v>
      </c>
      <c r="Q239" s="3" t="s">
        <v>34</v>
      </c>
      <c r="R239" s="3">
        <v>5</v>
      </c>
      <c r="S239" s="3">
        <v>2</v>
      </c>
      <c r="T239" s="3" t="s">
        <v>35</v>
      </c>
      <c r="U239" s="3" t="s">
        <v>36</v>
      </c>
      <c r="V239" s="3" t="s">
        <v>51</v>
      </c>
      <c r="W239" s="11" cm="1">
        <f t="array" ref="W239">IF(H239="Request","No SLA for Request", IF(F239="Emergency",B239+(4/24), WORKDAY(B239, _xlfn.IFS(F239="High", 3, F239="Normal", 5, F239="Low", 10))))</f>
        <v>44186</v>
      </c>
      <c r="X239" t="str">
        <f t="shared" si="3"/>
        <v>Yes</v>
      </c>
    </row>
    <row r="240" spans="1:24" ht="12.75" x14ac:dyDescent="0.2">
      <c r="A240" s="3">
        <v>111568</v>
      </c>
      <c r="B240" s="8">
        <v>44166.645138888889</v>
      </c>
      <c r="C240" s="3" t="s">
        <v>365</v>
      </c>
      <c r="D240" s="3" t="s">
        <v>143</v>
      </c>
      <c r="E240" s="3" t="s">
        <v>144</v>
      </c>
      <c r="F240" s="3" t="s">
        <v>124</v>
      </c>
      <c r="G240" s="3" t="s">
        <v>577</v>
      </c>
      <c r="H240" s="3" t="s">
        <v>53</v>
      </c>
      <c r="I240" s="3" t="s">
        <v>68</v>
      </c>
      <c r="J240" s="3" t="s">
        <v>32</v>
      </c>
      <c r="K240" s="8">
        <v>44179.651388888888</v>
      </c>
      <c r="L240" s="8">
        <v>44167.145138888889</v>
      </c>
      <c r="M240" s="3">
        <v>0</v>
      </c>
      <c r="N240" s="3">
        <v>1</v>
      </c>
      <c r="O240" s="3" t="s">
        <v>33</v>
      </c>
      <c r="P240" s="10" t="s">
        <v>576</v>
      </c>
      <c r="Q240" s="3" t="s">
        <v>77</v>
      </c>
      <c r="R240" s="3">
        <v>6</v>
      </c>
      <c r="S240" s="3">
        <v>0</v>
      </c>
      <c r="T240" s="3" t="s">
        <v>54</v>
      </c>
      <c r="U240" s="3" t="s">
        <v>55</v>
      </c>
      <c r="V240" s="3" t="s">
        <v>37</v>
      </c>
      <c r="W240" s="11" t="str" cm="1">
        <f t="array" ref="W240">IF(H240="Request","No SLA for Request", IF(F240="Emergency",B240+(4/24), WORKDAY(B240, _xlfn.IFS(F240="High", 3, F240="Normal", 5, F240="Low", 10))))</f>
        <v>No SLA for Request</v>
      </c>
      <c r="X240" t="str">
        <f t="shared" si="3"/>
        <v>N/A</v>
      </c>
    </row>
    <row r="241" spans="1:24" ht="12.75" x14ac:dyDescent="0.2">
      <c r="A241" s="3">
        <v>111533</v>
      </c>
      <c r="B241" s="8">
        <v>44113.648611111108</v>
      </c>
      <c r="C241" s="3" t="s">
        <v>366</v>
      </c>
      <c r="D241" s="3" t="s">
        <v>49</v>
      </c>
      <c r="E241" s="3" t="s">
        <v>50</v>
      </c>
      <c r="F241" s="3" t="s">
        <v>124</v>
      </c>
      <c r="G241" s="3" t="s">
        <v>29</v>
      </c>
      <c r="H241" s="3" t="s">
        <v>53</v>
      </c>
      <c r="I241" s="3" t="s">
        <v>31</v>
      </c>
      <c r="J241" s="3" t="s">
        <v>32</v>
      </c>
      <c r="K241" s="8">
        <v>44179.440972222219</v>
      </c>
      <c r="L241" s="8">
        <v>44114.148611111108</v>
      </c>
      <c r="M241" s="3">
        <v>0</v>
      </c>
      <c r="N241" s="3">
        <v>1</v>
      </c>
      <c r="O241" s="3" t="s">
        <v>33</v>
      </c>
      <c r="P241" s="10" t="s">
        <v>576</v>
      </c>
      <c r="Q241" s="3" t="s">
        <v>34</v>
      </c>
      <c r="R241" s="3">
        <v>5</v>
      </c>
      <c r="S241" s="3">
        <v>3</v>
      </c>
      <c r="T241" s="3" t="s">
        <v>54</v>
      </c>
      <c r="U241" s="3" t="s">
        <v>36</v>
      </c>
      <c r="V241" s="3" t="s">
        <v>48</v>
      </c>
      <c r="W241" s="11" t="str" cm="1">
        <f t="array" ref="W241">IF(H241="Request","No SLA for Request", IF(F241="Emergency",B241+(4/24), WORKDAY(B241, _xlfn.IFS(F241="High", 3, F241="Normal", 5, F241="Low", 10))))</f>
        <v>No SLA for Request</v>
      </c>
      <c r="X241" t="str">
        <f t="shared" si="3"/>
        <v>N/A</v>
      </c>
    </row>
    <row r="242" spans="1:24" ht="12.75" x14ac:dyDescent="0.2">
      <c r="A242" s="3">
        <v>111567</v>
      </c>
      <c r="B242" s="8">
        <v>44166.496527777781</v>
      </c>
      <c r="C242" s="3" t="s">
        <v>367</v>
      </c>
      <c r="D242" s="3" t="s">
        <v>145</v>
      </c>
      <c r="E242" s="3" t="s">
        <v>146</v>
      </c>
      <c r="F242" s="3" t="s">
        <v>124</v>
      </c>
      <c r="G242" s="3" t="s">
        <v>577</v>
      </c>
      <c r="H242" s="3" t="s">
        <v>53</v>
      </c>
      <c r="I242" s="3" t="s">
        <v>68</v>
      </c>
      <c r="J242" s="3" t="s">
        <v>32</v>
      </c>
      <c r="K242" s="8">
        <v>44169.730555555558</v>
      </c>
      <c r="L242" s="8">
        <v>44166.996527777781</v>
      </c>
      <c r="M242" s="3">
        <v>0</v>
      </c>
      <c r="N242" s="3">
        <v>1</v>
      </c>
      <c r="O242" s="3" t="s">
        <v>33</v>
      </c>
      <c r="P242" s="10" t="s">
        <v>576</v>
      </c>
      <c r="Q242" s="3" t="s">
        <v>77</v>
      </c>
      <c r="R242" s="3">
        <v>5</v>
      </c>
      <c r="S242" s="3">
        <v>0</v>
      </c>
      <c r="T242" s="3" t="s">
        <v>54</v>
      </c>
      <c r="U242" s="3" t="s">
        <v>55</v>
      </c>
      <c r="V242" s="3" t="s">
        <v>37</v>
      </c>
      <c r="W242" s="11" t="str" cm="1">
        <f t="array" ref="W242">IF(H242="Request","No SLA for Request", IF(F242="Emergency",B242+(4/24), WORKDAY(B242, _xlfn.IFS(F242="High", 3, F242="Normal", 5, F242="Low", 10))))</f>
        <v>No SLA for Request</v>
      </c>
      <c r="X242" t="str">
        <f t="shared" si="3"/>
        <v>N/A</v>
      </c>
    </row>
    <row r="243" spans="1:24" ht="12.75" x14ac:dyDescent="0.2">
      <c r="A243" s="3">
        <v>111563</v>
      </c>
      <c r="B243" s="8">
        <v>44160.290972222225</v>
      </c>
      <c r="C243" s="3" t="s">
        <v>368</v>
      </c>
      <c r="D243" s="3" t="s">
        <v>39</v>
      </c>
      <c r="E243" s="3" t="s">
        <v>40</v>
      </c>
      <c r="F243" s="3" t="s">
        <v>124</v>
      </c>
      <c r="G243" s="3" t="s">
        <v>577</v>
      </c>
      <c r="H243" s="3" t="s">
        <v>53</v>
      </c>
      <c r="I243" s="3" t="s">
        <v>31</v>
      </c>
      <c r="J243" s="3" t="s">
        <v>32</v>
      </c>
      <c r="K243" s="8">
        <v>44169.613194444442</v>
      </c>
      <c r="L243" s="8">
        <v>44160.790972222225</v>
      </c>
      <c r="M243" s="3">
        <v>0</v>
      </c>
      <c r="N243" s="3">
        <v>1</v>
      </c>
      <c r="O243" s="3" t="s">
        <v>33</v>
      </c>
      <c r="P243" s="10" t="s">
        <v>576</v>
      </c>
      <c r="Q243" s="3" t="s">
        <v>77</v>
      </c>
      <c r="R243" s="3">
        <v>4</v>
      </c>
      <c r="S243" s="3">
        <v>0</v>
      </c>
      <c r="T243" s="3" t="s">
        <v>35</v>
      </c>
      <c r="U243" s="3" t="s">
        <v>36</v>
      </c>
      <c r="V243" s="3" t="s">
        <v>37</v>
      </c>
      <c r="W243" s="11" t="str" cm="1">
        <f t="array" ref="W243">IF(H243="Request","No SLA for Request", IF(F243="Emergency",B243+(4/24), WORKDAY(B243, _xlfn.IFS(F243="High", 3, F243="Normal", 5, F243="Low", 10))))</f>
        <v>No SLA for Request</v>
      </c>
      <c r="X243" t="str">
        <f t="shared" si="3"/>
        <v>N/A</v>
      </c>
    </row>
    <row r="244" spans="1:24" ht="12.75" x14ac:dyDescent="0.2">
      <c r="A244" s="3">
        <v>111547</v>
      </c>
      <c r="B244" s="8">
        <v>44144.597222222219</v>
      </c>
      <c r="C244" s="3" t="s">
        <v>358</v>
      </c>
      <c r="D244" s="3" t="s">
        <v>39</v>
      </c>
      <c r="E244" s="3" t="s">
        <v>40</v>
      </c>
      <c r="F244" s="3" t="s">
        <v>124</v>
      </c>
      <c r="G244" s="3" t="s">
        <v>577</v>
      </c>
      <c r="H244" s="3" t="s">
        <v>53</v>
      </c>
      <c r="I244" s="3" t="s">
        <v>31</v>
      </c>
      <c r="J244" s="3" t="s">
        <v>32</v>
      </c>
      <c r="K244" s="8">
        <v>44169.611111111109</v>
      </c>
      <c r="L244" s="8">
        <v>44145.097222222219</v>
      </c>
      <c r="M244" s="3">
        <v>0</v>
      </c>
      <c r="N244" s="3">
        <v>1</v>
      </c>
      <c r="O244" s="3" t="s">
        <v>33</v>
      </c>
      <c r="P244" s="10" t="s">
        <v>576</v>
      </c>
      <c r="Q244" s="3" t="s">
        <v>77</v>
      </c>
      <c r="R244" s="3">
        <v>4</v>
      </c>
      <c r="S244" s="3">
        <v>0</v>
      </c>
      <c r="T244" s="3" t="s">
        <v>35</v>
      </c>
      <c r="U244" s="3" t="s">
        <v>36</v>
      </c>
      <c r="V244" s="3" t="s">
        <v>37</v>
      </c>
      <c r="W244" s="11" t="str" cm="1">
        <f t="array" ref="W244">IF(H244="Request","No SLA for Request", IF(F244="Emergency",B244+(4/24), WORKDAY(B244, _xlfn.IFS(F244="High", 3, F244="Normal", 5, F244="Low", 10))))</f>
        <v>No SLA for Request</v>
      </c>
      <c r="X244" t="str">
        <f t="shared" si="3"/>
        <v>N/A</v>
      </c>
    </row>
    <row r="245" spans="1:24" ht="12.75" x14ac:dyDescent="0.2">
      <c r="A245" s="3">
        <v>111545</v>
      </c>
      <c r="B245" s="8">
        <v>44140.67291666667</v>
      </c>
      <c r="C245" s="3" t="s">
        <v>368</v>
      </c>
      <c r="D245" s="3" t="s">
        <v>39</v>
      </c>
      <c r="E245" s="3" t="s">
        <v>40</v>
      </c>
      <c r="F245" s="3" t="s">
        <v>124</v>
      </c>
      <c r="G245" s="3" t="s">
        <v>577</v>
      </c>
      <c r="H245" s="3" t="s">
        <v>53</v>
      </c>
      <c r="I245" s="3" t="s">
        <v>31</v>
      </c>
      <c r="J245" s="3" t="s">
        <v>32</v>
      </c>
      <c r="K245" s="8">
        <v>44169.61041666667</v>
      </c>
      <c r="L245" s="8">
        <v>44141.17291666667</v>
      </c>
      <c r="M245" s="3">
        <v>0</v>
      </c>
      <c r="N245" s="3">
        <v>1</v>
      </c>
      <c r="O245" s="3" t="s">
        <v>33</v>
      </c>
      <c r="P245" s="10" t="s">
        <v>576</v>
      </c>
      <c r="Q245" s="3" t="s">
        <v>77</v>
      </c>
      <c r="R245" s="3">
        <v>3</v>
      </c>
      <c r="S245" s="3">
        <v>0</v>
      </c>
      <c r="T245" s="3" t="s">
        <v>35</v>
      </c>
      <c r="U245" s="3" t="s">
        <v>62</v>
      </c>
      <c r="V245" s="3" t="s">
        <v>37</v>
      </c>
      <c r="W245" s="11" t="str" cm="1">
        <f t="array" ref="W245">IF(H245="Request","No SLA for Request", IF(F245="Emergency",B245+(4/24), WORKDAY(B245, _xlfn.IFS(F245="High", 3, F245="Normal", 5, F245="Low", 10))))</f>
        <v>No SLA for Request</v>
      </c>
      <c r="X245" t="str">
        <f t="shared" si="3"/>
        <v>N/A</v>
      </c>
    </row>
    <row r="246" spans="1:24" ht="12.75" x14ac:dyDescent="0.2">
      <c r="A246" s="3">
        <v>111167</v>
      </c>
      <c r="B246" s="8">
        <v>43440.046527777777</v>
      </c>
      <c r="C246" s="3" t="s">
        <v>369</v>
      </c>
      <c r="D246" s="3" t="s">
        <v>86</v>
      </c>
      <c r="E246" s="3" t="s">
        <v>87</v>
      </c>
      <c r="F246" s="3" t="s">
        <v>124</v>
      </c>
      <c r="G246" s="3" t="s">
        <v>577</v>
      </c>
      <c r="H246" s="3" t="s">
        <v>53</v>
      </c>
      <c r="I246" s="3" t="s">
        <v>31</v>
      </c>
      <c r="J246" s="3" t="s">
        <v>32</v>
      </c>
      <c r="K246" s="8">
        <v>44168.729166666664</v>
      </c>
      <c r="L246" s="8">
        <v>43441.046527777777</v>
      </c>
      <c r="M246" s="3">
        <v>0</v>
      </c>
      <c r="N246" s="3">
        <v>1</v>
      </c>
      <c r="O246" s="3" t="s">
        <v>33</v>
      </c>
      <c r="P246" s="10" t="s">
        <v>576</v>
      </c>
      <c r="Q246" s="3" t="s">
        <v>77</v>
      </c>
      <c r="R246" s="3">
        <v>2</v>
      </c>
      <c r="S246" s="3">
        <v>1</v>
      </c>
      <c r="T246" s="10" t="s">
        <v>576</v>
      </c>
      <c r="U246" s="10" t="s">
        <v>576</v>
      </c>
      <c r="V246" s="3" t="s">
        <v>37</v>
      </c>
      <c r="W246" s="11" t="str" cm="1">
        <f t="array" ref="W246">IF(H246="Request","No SLA for Request", IF(F246="Emergency",B246+(4/24), WORKDAY(B246, _xlfn.IFS(F246="High", 3, F246="Normal", 5, F246="Low", 10))))</f>
        <v>No SLA for Request</v>
      </c>
      <c r="X246" t="str">
        <f t="shared" si="3"/>
        <v>N/A</v>
      </c>
    </row>
    <row r="247" spans="1:24" ht="12.75" x14ac:dyDescent="0.2">
      <c r="A247" s="3">
        <v>111542</v>
      </c>
      <c r="B247" s="8">
        <v>44130.520138888889</v>
      </c>
      <c r="C247" s="3" t="s">
        <v>370</v>
      </c>
      <c r="D247" s="3" t="s">
        <v>140</v>
      </c>
      <c r="E247" s="3" t="s">
        <v>611</v>
      </c>
      <c r="F247" s="3" t="s">
        <v>124</v>
      </c>
      <c r="G247" s="3" t="s">
        <v>577</v>
      </c>
      <c r="H247" s="3" t="s">
        <v>30</v>
      </c>
      <c r="I247" s="3" t="s">
        <v>61</v>
      </c>
      <c r="J247" s="3" t="s">
        <v>32</v>
      </c>
      <c r="K247" s="8">
        <v>44168.725694444445</v>
      </c>
      <c r="L247" s="8">
        <v>44131.708333333336</v>
      </c>
      <c r="M247" s="3">
        <v>0</v>
      </c>
      <c r="N247" s="3">
        <v>1</v>
      </c>
      <c r="O247" s="3" t="s">
        <v>33</v>
      </c>
      <c r="P247" s="10" t="s">
        <v>576</v>
      </c>
      <c r="Q247" s="3" t="s">
        <v>46</v>
      </c>
      <c r="R247" s="3">
        <v>5</v>
      </c>
      <c r="S247" s="3">
        <v>0</v>
      </c>
      <c r="T247" s="3" t="s">
        <v>35</v>
      </c>
      <c r="U247" s="3" t="s">
        <v>55</v>
      </c>
      <c r="V247" s="3" t="s">
        <v>37</v>
      </c>
      <c r="W247" s="11" cm="1">
        <f t="array" ref="W247">IF(H247="Request","No SLA for Request", IF(F247="Emergency",B247+(4/24), WORKDAY(B247, _xlfn.IFS(F247="High", 3, F247="Normal", 5, F247="Low", 10))))</f>
        <v>44137</v>
      </c>
      <c r="X247" t="str">
        <f t="shared" si="3"/>
        <v>Yes</v>
      </c>
    </row>
    <row r="248" spans="1:24" ht="12.75" x14ac:dyDescent="0.2">
      <c r="A248" s="3">
        <v>111429</v>
      </c>
      <c r="B248" s="8">
        <v>43983.818749999999</v>
      </c>
      <c r="C248" s="3" t="s">
        <v>614</v>
      </c>
      <c r="D248" s="3" t="s">
        <v>90</v>
      </c>
      <c r="E248" s="3" t="s">
        <v>91</v>
      </c>
      <c r="F248" s="3" t="s">
        <v>124</v>
      </c>
      <c r="G248" s="3" t="s">
        <v>29</v>
      </c>
      <c r="H248" s="3" t="s">
        <v>53</v>
      </c>
      <c r="I248" s="3" t="s">
        <v>31</v>
      </c>
      <c r="J248" s="3" t="s">
        <v>32</v>
      </c>
      <c r="K248" s="8">
        <v>44168.32916666667</v>
      </c>
      <c r="L248" s="8">
        <v>43984.318749999999</v>
      </c>
      <c r="M248" s="3">
        <v>0</v>
      </c>
      <c r="N248" s="3">
        <v>1</v>
      </c>
      <c r="O248" s="3" t="s">
        <v>33</v>
      </c>
      <c r="P248" s="10" t="s">
        <v>576</v>
      </c>
      <c r="Q248" s="3" t="s">
        <v>43</v>
      </c>
      <c r="R248" s="3">
        <v>20</v>
      </c>
      <c r="S248" s="3">
        <v>0</v>
      </c>
      <c r="T248" s="3" t="s">
        <v>54</v>
      </c>
      <c r="U248" s="3" t="s">
        <v>55</v>
      </c>
      <c r="V248" s="3" t="s">
        <v>48</v>
      </c>
      <c r="W248" s="11" t="str" cm="1">
        <f t="array" ref="W248">IF(H248="Request","No SLA for Request", IF(F248="Emergency",B248+(4/24), WORKDAY(B248, _xlfn.IFS(F248="High", 3, F248="Normal", 5, F248="Low", 10))))</f>
        <v>No SLA for Request</v>
      </c>
      <c r="X248" t="str">
        <f t="shared" si="3"/>
        <v>N/A</v>
      </c>
    </row>
    <row r="249" spans="1:24" ht="12.75" x14ac:dyDescent="0.2">
      <c r="A249" s="3">
        <v>111569</v>
      </c>
      <c r="B249" s="8">
        <v>44167.785416666666</v>
      </c>
      <c r="C249" s="3" t="s">
        <v>371</v>
      </c>
      <c r="D249" s="3" t="s">
        <v>147</v>
      </c>
      <c r="E249" s="3" t="s">
        <v>615</v>
      </c>
      <c r="F249" s="3" t="s">
        <v>124</v>
      </c>
      <c r="G249" s="3" t="s">
        <v>577</v>
      </c>
      <c r="H249" s="3" t="s">
        <v>30</v>
      </c>
      <c r="I249" s="3" t="s">
        <v>68</v>
      </c>
      <c r="J249" s="3" t="s">
        <v>51</v>
      </c>
      <c r="K249" s="8">
        <v>44167.785416666666</v>
      </c>
      <c r="L249" s="8">
        <v>44168.285416666666</v>
      </c>
      <c r="M249" s="3">
        <v>1</v>
      </c>
      <c r="N249" s="3">
        <v>1</v>
      </c>
      <c r="O249" s="3" t="s">
        <v>85</v>
      </c>
      <c r="P249" s="10" t="s">
        <v>576</v>
      </c>
      <c r="Q249" s="3" t="s">
        <v>46</v>
      </c>
      <c r="R249" s="3">
        <v>3</v>
      </c>
      <c r="S249" s="3">
        <v>3</v>
      </c>
      <c r="T249" s="3" t="s">
        <v>54</v>
      </c>
      <c r="U249" s="3" t="s">
        <v>55</v>
      </c>
      <c r="V249" s="3" t="s">
        <v>37</v>
      </c>
      <c r="W249" s="11" cm="1">
        <f t="array" ref="W249">IF(H249="Request","No SLA for Request", IF(F249="Emergency",B249+(4/24), WORKDAY(B249, _xlfn.IFS(F249="High", 3, F249="Normal", 5, F249="Low", 10))))</f>
        <v>44174</v>
      </c>
      <c r="X249" t="str">
        <f t="shared" si="3"/>
        <v>No</v>
      </c>
    </row>
    <row r="250" spans="1:24" ht="12.75" x14ac:dyDescent="0.2">
      <c r="A250" s="3">
        <v>111174</v>
      </c>
      <c r="B250" s="8">
        <v>43565.615972222222</v>
      </c>
      <c r="C250" s="3" t="s">
        <v>372</v>
      </c>
      <c r="D250" s="3" t="s">
        <v>608</v>
      </c>
      <c r="E250" s="3" t="s">
        <v>609</v>
      </c>
      <c r="F250" s="3" t="s">
        <v>124</v>
      </c>
      <c r="G250" s="3" t="s">
        <v>29</v>
      </c>
      <c r="H250" s="3" t="s">
        <v>30</v>
      </c>
      <c r="I250" s="3" t="s">
        <v>31</v>
      </c>
      <c r="J250" s="3" t="s">
        <v>51</v>
      </c>
      <c r="K250" s="8">
        <v>44166.71875</v>
      </c>
      <c r="L250" s="8">
        <v>43570.615972222222</v>
      </c>
      <c r="M250" s="3">
        <v>1</v>
      </c>
      <c r="N250" s="3">
        <v>1</v>
      </c>
      <c r="O250" s="3" t="s">
        <v>85</v>
      </c>
      <c r="P250" s="10" t="s">
        <v>576</v>
      </c>
      <c r="Q250" s="3" t="s">
        <v>43</v>
      </c>
      <c r="R250" s="3">
        <v>61</v>
      </c>
      <c r="S250" s="3">
        <v>0</v>
      </c>
      <c r="T250" s="3" t="s">
        <v>35</v>
      </c>
      <c r="U250" s="3" t="s">
        <v>36</v>
      </c>
      <c r="V250" s="3" t="s">
        <v>37</v>
      </c>
      <c r="W250" s="11" cm="1">
        <f t="array" ref="W250">IF(H250="Request","No SLA for Request", IF(F250="Emergency",B250+(4/24), WORKDAY(B250, _xlfn.IFS(F250="High", 3, F250="Normal", 5, F250="Low", 10))))</f>
        <v>43572</v>
      </c>
      <c r="X250" t="str">
        <f t="shared" si="3"/>
        <v>Yes</v>
      </c>
    </row>
    <row r="251" spans="1:24" ht="12.75" x14ac:dyDescent="0.2">
      <c r="A251" s="3">
        <v>111566</v>
      </c>
      <c r="B251" s="8">
        <v>44166.493750000001</v>
      </c>
      <c r="C251" s="3" t="s">
        <v>367</v>
      </c>
      <c r="D251" s="3" t="s">
        <v>145</v>
      </c>
      <c r="E251" s="3" t="s">
        <v>146</v>
      </c>
      <c r="F251" s="3" t="s">
        <v>124</v>
      </c>
      <c r="G251" s="3" t="s">
        <v>577</v>
      </c>
      <c r="H251" s="3" t="s">
        <v>53</v>
      </c>
      <c r="I251" s="3" t="s">
        <v>68</v>
      </c>
      <c r="J251" s="3" t="s">
        <v>51</v>
      </c>
      <c r="K251" s="8">
        <v>44166.493750000001</v>
      </c>
      <c r="L251" s="8">
        <v>44166.993750000001</v>
      </c>
      <c r="M251" s="3">
        <v>1</v>
      </c>
      <c r="N251" s="3">
        <v>1</v>
      </c>
      <c r="O251" s="3" t="s">
        <v>85</v>
      </c>
      <c r="P251" s="10" t="s">
        <v>576</v>
      </c>
      <c r="Q251" s="3" t="s">
        <v>77</v>
      </c>
      <c r="R251" s="3">
        <v>5</v>
      </c>
      <c r="S251" s="3">
        <v>0</v>
      </c>
      <c r="T251" s="3" t="s">
        <v>54</v>
      </c>
      <c r="U251" s="3" t="s">
        <v>55</v>
      </c>
      <c r="V251" s="3" t="s">
        <v>37</v>
      </c>
      <c r="W251" s="11" t="str" cm="1">
        <f t="array" ref="W251">IF(H251="Request","No SLA for Request", IF(F251="Emergency",B251+(4/24), WORKDAY(B251, _xlfn.IFS(F251="High", 3, F251="Normal", 5, F251="Low", 10))))</f>
        <v>No SLA for Request</v>
      </c>
      <c r="X251" t="str">
        <f t="shared" si="3"/>
        <v>N/A</v>
      </c>
    </row>
    <row r="252" spans="1:24" ht="12.75" x14ac:dyDescent="0.2">
      <c r="A252" s="3">
        <v>111559</v>
      </c>
      <c r="B252" s="8">
        <v>44154.399305555555</v>
      </c>
      <c r="C252" s="3" t="s">
        <v>373</v>
      </c>
      <c r="D252" s="3" t="s">
        <v>117</v>
      </c>
      <c r="E252" s="3" t="s">
        <v>118</v>
      </c>
      <c r="F252" s="3" t="s">
        <v>124</v>
      </c>
      <c r="G252" s="3" t="s">
        <v>29</v>
      </c>
      <c r="H252" s="3" t="s">
        <v>30</v>
      </c>
      <c r="I252" s="3" t="s">
        <v>31</v>
      </c>
      <c r="J252" s="3" t="s">
        <v>32</v>
      </c>
      <c r="K252" s="8">
        <v>44159.73541666667</v>
      </c>
      <c r="L252" s="8">
        <v>44154.565972222219</v>
      </c>
      <c r="M252" s="3">
        <v>0</v>
      </c>
      <c r="N252" s="3">
        <v>1</v>
      </c>
      <c r="O252" s="3" t="s">
        <v>33</v>
      </c>
      <c r="P252" s="10" t="s">
        <v>576</v>
      </c>
      <c r="Q252" s="3" t="s">
        <v>43</v>
      </c>
      <c r="R252" s="3">
        <v>7</v>
      </c>
      <c r="S252" s="3">
        <v>2</v>
      </c>
      <c r="T252" s="3" t="s">
        <v>35</v>
      </c>
      <c r="U252" s="3" t="s">
        <v>36</v>
      </c>
      <c r="V252" s="3" t="s">
        <v>51</v>
      </c>
      <c r="W252" s="11" cm="1">
        <f t="array" ref="W252">IF(H252="Request","No SLA for Request", IF(F252="Emergency",B252+(4/24), WORKDAY(B252, _xlfn.IFS(F252="High", 3, F252="Normal", 5, F252="Low", 10))))</f>
        <v>44161</v>
      </c>
      <c r="X252" t="str">
        <f t="shared" si="3"/>
        <v>No</v>
      </c>
    </row>
    <row r="253" spans="1:24" ht="12.75" x14ac:dyDescent="0.2">
      <c r="A253" s="3">
        <v>111480</v>
      </c>
      <c r="B253" s="8">
        <v>44053.428472222222</v>
      </c>
      <c r="C253" s="3" t="s">
        <v>374</v>
      </c>
      <c r="D253" s="3" t="s">
        <v>603</v>
      </c>
      <c r="E253" s="3" t="s">
        <v>604</v>
      </c>
      <c r="F253" s="3" t="s">
        <v>124</v>
      </c>
      <c r="G253" s="3" t="s">
        <v>29</v>
      </c>
      <c r="H253" s="3" t="s">
        <v>53</v>
      </c>
      <c r="I253" s="3" t="s">
        <v>31</v>
      </c>
      <c r="J253" s="3" t="s">
        <v>32</v>
      </c>
      <c r="K253" s="8">
        <v>44158.388888888891</v>
      </c>
      <c r="L253" s="8">
        <v>44053.928472222222</v>
      </c>
      <c r="M253" s="3">
        <v>0</v>
      </c>
      <c r="N253" s="3">
        <v>1</v>
      </c>
      <c r="O253" s="3" t="s">
        <v>33</v>
      </c>
      <c r="P253" s="10" t="s">
        <v>576</v>
      </c>
      <c r="Q253" s="3" t="s">
        <v>72</v>
      </c>
      <c r="R253" s="3">
        <v>6</v>
      </c>
      <c r="S253" s="3">
        <v>1</v>
      </c>
      <c r="T253" s="3" t="s">
        <v>35</v>
      </c>
      <c r="U253" s="3" t="s">
        <v>36</v>
      </c>
      <c r="V253" s="3" t="s">
        <v>37</v>
      </c>
      <c r="W253" s="11" t="str" cm="1">
        <f t="array" ref="W253">IF(H253="Request","No SLA for Request", IF(F253="Emergency",B253+(4/24), WORKDAY(B253, _xlfn.IFS(F253="High", 3, F253="Normal", 5, F253="Low", 10))))</f>
        <v>No SLA for Request</v>
      </c>
      <c r="X253" t="str">
        <f t="shared" si="3"/>
        <v>N/A</v>
      </c>
    </row>
    <row r="254" spans="1:24" ht="12.75" x14ac:dyDescent="0.2">
      <c r="A254" s="3">
        <v>111520</v>
      </c>
      <c r="B254" s="8">
        <v>44109.713194444441</v>
      </c>
      <c r="C254" s="3" t="s">
        <v>245</v>
      </c>
      <c r="D254" s="3" t="s">
        <v>49</v>
      </c>
      <c r="E254" s="3" t="s">
        <v>50</v>
      </c>
      <c r="F254" s="3" t="s">
        <v>124</v>
      </c>
      <c r="G254" s="3" t="s">
        <v>29</v>
      </c>
      <c r="H254" s="3" t="s">
        <v>30</v>
      </c>
      <c r="I254" s="3" t="s">
        <v>31</v>
      </c>
      <c r="J254" s="3" t="s">
        <v>32</v>
      </c>
      <c r="K254" s="8">
        <v>44153.738194444442</v>
      </c>
      <c r="L254" s="12" t="s">
        <v>576</v>
      </c>
      <c r="M254" s="3">
        <v>0</v>
      </c>
      <c r="N254" s="3">
        <v>1</v>
      </c>
      <c r="O254" s="3" t="s">
        <v>33</v>
      </c>
      <c r="P254" s="10" t="s">
        <v>576</v>
      </c>
      <c r="Q254" s="3" t="s">
        <v>34</v>
      </c>
      <c r="R254" s="3">
        <v>8</v>
      </c>
      <c r="S254" s="3">
        <v>2</v>
      </c>
      <c r="T254" s="3" t="s">
        <v>35</v>
      </c>
      <c r="U254" s="3" t="s">
        <v>36</v>
      </c>
      <c r="V254" s="3" t="s">
        <v>48</v>
      </c>
      <c r="W254" s="11" cm="1">
        <f t="array" ref="W254">IF(H254="Request","No SLA for Request", IF(F254="Emergency",B254+(4/24), WORKDAY(B254, _xlfn.IFS(F254="High", 3, F254="Normal", 5, F254="Low", 10))))</f>
        <v>44116</v>
      </c>
      <c r="X254" t="str">
        <f t="shared" si="3"/>
        <v>Yes</v>
      </c>
    </row>
    <row r="255" spans="1:24" ht="12.75" x14ac:dyDescent="0.2">
      <c r="A255" s="3">
        <v>111548</v>
      </c>
      <c r="B255" s="8">
        <v>44144.62777777778</v>
      </c>
      <c r="C255" s="3" t="s">
        <v>616</v>
      </c>
      <c r="D255" s="3" t="s">
        <v>47</v>
      </c>
      <c r="E255" s="3" t="s">
        <v>578</v>
      </c>
      <c r="F255" s="3" t="s">
        <v>124</v>
      </c>
      <c r="G255" s="3" t="s">
        <v>29</v>
      </c>
      <c r="H255" s="3" t="s">
        <v>30</v>
      </c>
      <c r="I255" s="3" t="s">
        <v>31</v>
      </c>
      <c r="J255" s="3" t="s">
        <v>32</v>
      </c>
      <c r="K255" s="8">
        <v>44151.622916666667</v>
      </c>
      <c r="L255" s="8">
        <v>44145.12777777778</v>
      </c>
      <c r="M255" s="3">
        <v>0</v>
      </c>
      <c r="N255" s="3">
        <v>1</v>
      </c>
      <c r="O255" s="3" t="s">
        <v>33</v>
      </c>
      <c r="P255" s="10" t="s">
        <v>576</v>
      </c>
      <c r="Q255" s="3" t="s">
        <v>43</v>
      </c>
      <c r="R255" s="3">
        <v>8</v>
      </c>
      <c r="S255" s="3">
        <v>1</v>
      </c>
      <c r="T255" s="3" t="s">
        <v>54</v>
      </c>
      <c r="U255" s="3" t="s">
        <v>55</v>
      </c>
      <c r="V255" s="3" t="s">
        <v>48</v>
      </c>
      <c r="W255" s="11" cm="1">
        <f t="array" ref="W255">IF(H255="Request","No SLA for Request", IF(F255="Emergency",B255+(4/24), WORKDAY(B255, _xlfn.IFS(F255="High", 3, F255="Normal", 5, F255="Low", 10))))</f>
        <v>44151</v>
      </c>
      <c r="X255" t="str">
        <f t="shared" si="3"/>
        <v>Yes</v>
      </c>
    </row>
    <row r="256" spans="1:24" ht="12.75" x14ac:dyDescent="0.2">
      <c r="A256" s="3">
        <v>111541</v>
      </c>
      <c r="B256" s="8">
        <v>44130.488194444442</v>
      </c>
      <c r="C256" s="3" t="s">
        <v>375</v>
      </c>
      <c r="D256" s="3" t="s">
        <v>140</v>
      </c>
      <c r="E256" s="3" t="s">
        <v>611</v>
      </c>
      <c r="F256" s="3" t="s">
        <v>124</v>
      </c>
      <c r="G256" s="3" t="s">
        <v>577</v>
      </c>
      <c r="H256" s="3" t="s">
        <v>30</v>
      </c>
      <c r="I256" s="3" t="s">
        <v>61</v>
      </c>
      <c r="J256" s="3" t="s">
        <v>32</v>
      </c>
      <c r="K256" s="8">
        <v>44145.930555555555</v>
      </c>
      <c r="L256" s="8">
        <v>44131.708333333336</v>
      </c>
      <c r="M256" s="3">
        <v>0</v>
      </c>
      <c r="N256" s="3">
        <v>1</v>
      </c>
      <c r="O256" s="3" t="s">
        <v>33</v>
      </c>
      <c r="P256" s="10" t="s">
        <v>576</v>
      </c>
      <c r="Q256" s="3" t="s">
        <v>46</v>
      </c>
      <c r="R256" s="3">
        <v>4</v>
      </c>
      <c r="S256" s="3">
        <v>0</v>
      </c>
      <c r="T256" s="3" t="s">
        <v>35</v>
      </c>
      <c r="U256" s="3" t="s">
        <v>36</v>
      </c>
      <c r="V256" s="3" t="s">
        <v>37</v>
      </c>
      <c r="W256" s="11" cm="1">
        <f t="array" ref="W256">IF(H256="Request","No SLA for Request", IF(F256="Emergency",B256+(4/24), WORKDAY(B256, _xlfn.IFS(F256="High", 3, F256="Normal", 5, F256="Low", 10))))</f>
        <v>44137</v>
      </c>
      <c r="X256" t="str">
        <f t="shared" si="3"/>
        <v>Yes</v>
      </c>
    </row>
    <row r="257" spans="1:24" ht="12.75" x14ac:dyDescent="0.2">
      <c r="A257" s="3">
        <v>111555</v>
      </c>
      <c r="B257" s="8">
        <v>44145.926388888889</v>
      </c>
      <c r="C257" s="3" t="s">
        <v>376</v>
      </c>
      <c r="D257" s="3" t="s">
        <v>608</v>
      </c>
      <c r="E257" s="3" t="s">
        <v>609</v>
      </c>
      <c r="F257" s="3" t="s">
        <v>124</v>
      </c>
      <c r="G257" s="3" t="s">
        <v>577</v>
      </c>
      <c r="H257" s="3" t="s">
        <v>53</v>
      </c>
      <c r="I257" s="3" t="s">
        <v>31</v>
      </c>
      <c r="J257" s="3" t="s">
        <v>51</v>
      </c>
      <c r="K257" s="8">
        <v>44145.926388888889</v>
      </c>
      <c r="L257" s="8">
        <v>44146.426388888889</v>
      </c>
      <c r="M257" s="3">
        <v>1</v>
      </c>
      <c r="N257" s="3">
        <v>0</v>
      </c>
      <c r="O257" s="3" t="s">
        <v>85</v>
      </c>
      <c r="P257" s="10" t="s">
        <v>576</v>
      </c>
      <c r="Q257" s="3" t="s">
        <v>77</v>
      </c>
      <c r="R257" s="3">
        <v>1</v>
      </c>
      <c r="S257" s="3">
        <v>0</v>
      </c>
      <c r="T257" s="3" t="s">
        <v>35</v>
      </c>
      <c r="U257" s="3" t="s">
        <v>55</v>
      </c>
      <c r="V257" s="3" t="s">
        <v>37</v>
      </c>
      <c r="W257" s="11" t="str" cm="1">
        <f t="array" ref="W257">IF(H257="Request","No SLA for Request", IF(F257="Emergency",B257+(4/24), WORKDAY(B257, _xlfn.IFS(F257="High", 3, F257="Normal", 5, F257="Low", 10))))</f>
        <v>No SLA for Request</v>
      </c>
      <c r="X257" t="str">
        <f t="shared" si="3"/>
        <v>N/A</v>
      </c>
    </row>
    <row r="258" spans="1:24" ht="12.75" x14ac:dyDescent="0.2">
      <c r="A258" s="3">
        <v>111482</v>
      </c>
      <c r="B258" s="8">
        <v>44055.923611111109</v>
      </c>
      <c r="C258" s="3" t="s">
        <v>377</v>
      </c>
      <c r="D258" s="3" t="s">
        <v>60</v>
      </c>
      <c r="E258" s="3" t="s">
        <v>581</v>
      </c>
      <c r="F258" s="3" t="s">
        <v>124</v>
      </c>
      <c r="G258" s="3" t="s">
        <v>29</v>
      </c>
      <c r="H258" s="3" t="s">
        <v>53</v>
      </c>
      <c r="I258" s="3" t="s">
        <v>31</v>
      </c>
      <c r="J258" s="3" t="s">
        <v>32</v>
      </c>
      <c r="K258" s="8">
        <v>44145.407638888886</v>
      </c>
      <c r="L258" s="8">
        <v>44056.423611111109</v>
      </c>
      <c r="M258" s="3">
        <v>0</v>
      </c>
      <c r="N258" s="3">
        <v>1</v>
      </c>
      <c r="O258" s="3" t="s">
        <v>33</v>
      </c>
      <c r="P258" s="10" t="s">
        <v>576</v>
      </c>
      <c r="Q258" s="3" t="s">
        <v>43</v>
      </c>
      <c r="R258" s="3">
        <v>47</v>
      </c>
      <c r="S258" s="3">
        <v>4</v>
      </c>
      <c r="T258" s="3" t="s">
        <v>54</v>
      </c>
      <c r="U258" s="3" t="s">
        <v>55</v>
      </c>
      <c r="V258" s="3" t="s">
        <v>37</v>
      </c>
      <c r="W258" s="11" t="str" cm="1">
        <f t="array" ref="W258">IF(H258="Request","No SLA for Request", IF(F258="Emergency",B258+(4/24), WORKDAY(B258, _xlfn.IFS(F258="High", 3, F258="Normal", 5, F258="Low", 10))))</f>
        <v>No SLA for Request</v>
      </c>
      <c r="X258" t="str">
        <f t="shared" si="3"/>
        <v>N/A</v>
      </c>
    </row>
    <row r="259" spans="1:24" ht="12.75" x14ac:dyDescent="0.2">
      <c r="A259" s="3">
        <v>111534</v>
      </c>
      <c r="B259" s="8">
        <v>44119.602083333331</v>
      </c>
      <c r="C259" s="3" t="s">
        <v>378</v>
      </c>
      <c r="D259" s="3" t="s">
        <v>70</v>
      </c>
      <c r="E259" s="3" t="s">
        <v>71</v>
      </c>
      <c r="F259" s="3" t="s">
        <v>124</v>
      </c>
      <c r="G259" s="3" t="s">
        <v>29</v>
      </c>
      <c r="H259" s="3" t="s">
        <v>53</v>
      </c>
      <c r="I259" s="3" t="s">
        <v>31</v>
      </c>
      <c r="J259" s="3" t="s">
        <v>32</v>
      </c>
      <c r="K259" s="8">
        <v>44144.87777777778</v>
      </c>
      <c r="L259" s="12" t="s">
        <v>576</v>
      </c>
      <c r="M259" s="3">
        <v>0</v>
      </c>
      <c r="N259" s="3">
        <v>1</v>
      </c>
      <c r="O259" s="3" t="s">
        <v>33</v>
      </c>
      <c r="P259" s="10" t="s">
        <v>576</v>
      </c>
      <c r="Q259" s="3" t="s">
        <v>43</v>
      </c>
      <c r="R259" s="3">
        <v>8</v>
      </c>
      <c r="S259" s="3">
        <v>0</v>
      </c>
      <c r="T259" s="3" t="s">
        <v>54</v>
      </c>
      <c r="U259" s="3" t="s">
        <v>55</v>
      </c>
      <c r="V259" s="3" t="s">
        <v>37</v>
      </c>
      <c r="W259" s="11" t="str" cm="1">
        <f t="array" ref="W259">IF(H259="Request","No SLA for Request", IF(F259="Emergency",B259+(4/24), WORKDAY(B259, _xlfn.IFS(F259="High", 3, F259="Normal", 5, F259="Low", 10))))</f>
        <v>No SLA for Request</v>
      </c>
      <c r="X259" t="str">
        <f t="shared" ref="X259:X322" si="4">IF(K259&gt;=W259,"Yes",IF(W259="No SLA for Request","N/A","No"))</f>
        <v>N/A</v>
      </c>
    </row>
    <row r="260" spans="1:24" ht="12.75" x14ac:dyDescent="0.2">
      <c r="A260" s="3">
        <v>111505</v>
      </c>
      <c r="B260" s="8">
        <v>44097.645833333336</v>
      </c>
      <c r="C260" s="3" t="s">
        <v>379</v>
      </c>
      <c r="D260" s="3" t="s">
        <v>26</v>
      </c>
      <c r="E260" s="3" t="s">
        <v>27</v>
      </c>
      <c r="F260" s="3" t="s">
        <v>124</v>
      </c>
      <c r="G260" s="3" t="s">
        <v>29</v>
      </c>
      <c r="H260" s="3" t="s">
        <v>30</v>
      </c>
      <c r="I260" s="3" t="s">
        <v>31</v>
      </c>
      <c r="J260" s="3" t="s">
        <v>32</v>
      </c>
      <c r="K260" s="8">
        <v>44138.737500000003</v>
      </c>
      <c r="L260" s="12" t="s">
        <v>576</v>
      </c>
      <c r="M260" s="3">
        <v>0</v>
      </c>
      <c r="N260" s="3">
        <v>1</v>
      </c>
      <c r="O260" s="3" t="s">
        <v>33</v>
      </c>
      <c r="P260" s="10" t="s">
        <v>576</v>
      </c>
      <c r="Q260" s="3" t="s">
        <v>34</v>
      </c>
      <c r="R260" s="3">
        <v>19</v>
      </c>
      <c r="S260" s="3">
        <v>5</v>
      </c>
      <c r="T260" s="3" t="s">
        <v>35</v>
      </c>
      <c r="U260" s="3" t="s">
        <v>36</v>
      </c>
      <c r="V260" s="3" t="s">
        <v>37</v>
      </c>
      <c r="W260" s="11" cm="1">
        <f t="array" ref="W260">IF(H260="Request","No SLA for Request", IF(F260="Emergency",B260+(4/24), WORKDAY(B260, _xlfn.IFS(F260="High", 3, F260="Normal", 5, F260="Low", 10))))</f>
        <v>44104</v>
      </c>
      <c r="X260" t="str">
        <f t="shared" si="4"/>
        <v>Yes</v>
      </c>
    </row>
    <row r="261" spans="1:24" ht="12.75" x14ac:dyDescent="0.2">
      <c r="A261" s="3">
        <v>111544</v>
      </c>
      <c r="B261" s="8">
        <v>44132.398611111108</v>
      </c>
      <c r="C261" s="3" t="s">
        <v>380</v>
      </c>
      <c r="D261" s="3" t="s">
        <v>140</v>
      </c>
      <c r="E261" s="3" t="s">
        <v>611</v>
      </c>
      <c r="F261" s="3" t="s">
        <v>124</v>
      </c>
      <c r="G261" s="3" t="s">
        <v>577</v>
      </c>
      <c r="H261" s="3" t="s">
        <v>30</v>
      </c>
      <c r="I261" s="3" t="s">
        <v>68</v>
      </c>
      <c r="J261" s="3" t="s">
        <v>32</v>
      </c>
      <c r="K261" s="8">
        <v>44138.729861111111</v>
      </c>
      <c r="L261" s="8">
        <v>44133.708333333336</v>
      </c>
      <c r="M261" s="3">
        <v>0</v>
      </c>
      <c r="N261" s="3">
        <v>1</v>
      </c>
      <c r="O261" s="3" t="s">
        <v>33</v>
      </c>
      <c r="P261" s="10" t="s">
        <v>576</v>
      </c>
      <c r="Q261" s="3" t="s">
        <v>46</v>
      </c>
      <c r="R261" s="3">
        <v>4</v>
      </c>
      <c r="S261" s="3">
        <v>0</v>
      </c>
      <c r="T261" s="3" t="s">
        <v>54</v>
      </c>
      <c r="U261" s="3" t="s">
        <v>55</v>
      </c>
      <c r="V261" s="3" t="s">
        <v>37</v>
      </c>
      <c r="W261" s="11" cm="1">
        <f t="array" ref="W261">IF(H261="Request","No SLA for Request", IF(F261="Emergency",B261+(4/24), WORKDAY(B261, _xlfn.IFS(F261="High", 3, F261="Normal", 5, F261="Low", 10))))</f>
        <v>44139</v>
      </c>
      <c r="X261" t="str">
        <f t="shared" si="4"/>
        <v>No</v>
      </c>
    </row>
    <row r="262" spans="1:24" ht="12.75" x14ac:dyDescent="0.2">
      <c r="A262" s="3">
        <v>111468</v>
      </c>
      <c r="B262" s="8">
        <v>44021.661111111112</v>
      </c>
      <c r="C262" s="3" t="s">
        <v>381</v>
      </c>
      <c r="D262" s="3" t="s">
        <v>139</v>
      </c>
      <c r="E262" s="3" t="s">
        <v>610</v>
      </c>
      <c r="F262" s="3" t="s">
        <v>124</v>
      </c>
      <c r="G262" s="3" t="s">
        <v>577</v>
      </c>
      <c r="H262" s="3" t="s">
        <v>30</v>
      </c>
      <c r="I262" s="3" t="s">
        <v>61</v>
      </c>
      <c r="J262" s="3" t="s">
        <v>32</v>
      </c>
      <c r="K262" s="8">
        <v>44134.711111111108</v>
      </c>
      <c r="L262" s="8">
        <v>44022.161111111112</v>
      </c>
      <c r="M262" s="3">
        <v>0</v>
      </c>
      <c r="N262" s="3">
        <v>1</v>
      </c>
      <c r="O262" s="3" t="s">
        <v>33</v>
      </c>
      <c r="P262" s="10" t="s">
        <v>576</v>
      </c>
      <c r="Q262" s="3" t="s">
        <v>77</v>
      </c>
      <c r="R262" s="3">
        <v>4</v>
      </c>
      <c r="S262" s="3">
        <v>0</v>
      </c>
      <c r="T262" s="3" t="s">
        <v>54</v>
      </c>
      <c r="U262" s="3" t="s">
        <v>62</v>
      </c>
      <c r="V262" s="3" t="s">
        <v>37</v>
      </c>
      <c r="W262" s="11" cm="1">
        <f t="array" ref="W262">IF(H262="Request","No SLA for Request", IF(F262="Emergency",B262+(4/24), WORKDAY(B262, _xlfn.IFS(F262="High", 3, F262="Normal", 5, F262="Low", 10))))</f>
        <v>44028</v>
      </c>
      <c r="X262" t="str">
        <f t="shared" si="4"/>
        <v>Yes</v>
      </c>
    </row>
    <row r="263" spans="1:24" ht="12.75" x14ac:dyDescent="0.2">
      <c r="A263" s="3">
        <v>111538</v>
      </c>
      <c r="B263" s="8">
        <v>44124.606944444444</v>
      </c>
      <c r="C263" s="3" t="s">
        <v>382</v>
      </c>
      <c r="D263" s="3" t="s">
        <v>140</v>
      </c>
      <c r="E263" s="3" t="s">
        <v>611</v>
      </c>
      <c r="F263" s="3" t="s">
        <v>124</v>
      </c>
      <c r="G263" s="3" t="s">
        <v>577</v>
      </c>
      <c r="H263" s="3" t="s">
        <v>30</v>
      </c>
      <c r="I263" s="3" t="s">
        <v>68</v>
      </c>
      <c r="J263" s="3" t="s">
        <v>32</v>
      </c>
      <c r="K263" s="8">
        <v>44127.866666666669</v>
      </c>
      <c r="L263" s="8">
        <v>44125.708333333336</v>
      </c>
      <c r="M263" s="3">
        <v>0</v>
      </c>
      <c r="N263" s="3">
        <v>1</v>
      </c>
      <c r="O263" s="3" t="s">
        <v>33</v>
      </c>
      <c r="P263" s="10" t="s">
        <v>576</v>
      </c>
      <c r="Q263" s="3" t="s">
        <v>46</v>
      </c>
      <c r="R263" s="3">
        <v>4</v>
      </c>
      <c r="S263" s="3">
        <v>0</v>
      </c>
      <c r="T263" s="3" t="s">
        <v>54</v>
      </c>
      <c r="U263" s="3" t="s">
        <v>55</v>
      </c>
      <c r="V263" s="3" t="s">
        <v>37</v>
      </c>
      <c r="W263" s="11" cm="1">
        <f t="array" ref="W263">IF(H263="Request","No SLA for Request", IF(F263="Emergency",B263+(4/24), WORKDAY(B263, _xlfn.IFS(F263="High", 3, F263="Normal", 5, F263="Low", 10))))</f>
        <v>44131</v>
      </c>
      <c r="X263" t="str">
        <f t="shared" si="4"/>
        <v>No</v>
      </c>
    </row>
    <row r="264" spans="1:24" ht="12.75" x14ac:dyDescent="0.2">
      <c r="A264" s="3">
        <v>111536</v>
      </c>
      <c r="B264" s="8">
        <v>44123.580555555556</v>
      </c>
      <c r="C264" s="3" t="s">
        <v>383</v>
      </c>
      <c r="D264" s="3" t="s">
        <v>75</v>
      </c>
      <c r="E264" s="3" t="s">
        <v>76</v>
      </c>
      <c r="F264" s="3" t="s">
        <v>124</v>
      </c>
      <c r="G264" s="3" t="s">
        <v>577</v>
      </c>
      <c r="H264" s="3" t="s">
        <v>30</v>
      </c>
      <c r="I264" s="3" t="s">
        <v>68</v>
      </c>
      <c r="J264" s="3" t="s">
        <v>32</v>
      </c>
      <c r="K264" s="8">
        <v>44127.865972222222</v>
      </c>
      <c r="L264" s="8">
        <v>44124.708333333336</v>
      </c>
      <c r="M264" s="3">
        <v>0</v>
      </c>
      <c r="N264" s="3">
        <v>1</v>
      </c>
      <c r="O264" s="3" t="s">
        <v>33</v>
      </c>
      <c r="P264" s="10" t="s">
        <v>576</v>
      </c>
      <c r="Q264" s="3" t="s">
        <v>46</v>
      </c>
      <c r="R264" s="3">
        <v>4</v>
      </c>
      <c r="S264" s="3">
        <v>0</v>
      </c>
      <c r="T264" s="3" t="s">
        <v>54</v>
      </c>
      <c r="U264" s="3" t="s">
        <v>55</v>
      </c>
      <c r="V264" s="3" t="s">
        <v>37</v>
      </c>
      <c r="W264" s="11" cm="1">
        <f t="array" ref="W264">IF(H264="Request","No SLA for Request", IF(F264="Emergency",B264+(4/24), WORKDAY(B264, _xlfn.IFS(F264="High", 3, F264="Normal", 5, F264="Low", 10))))</f>
        <v>44130</v>
      </c>
      <c r="X264" t="str">
        <f t="shared" si="4"/>
        <v>No</v>
      </c>
    </row>
    <row r="265" spans="1:24" ht="12.75" x14ac:dyDescent="0.2">
      <c r="A265" s="3">
        <v>111516</v>
      </c>
      <c r="B265" s="8">
        <v>44109.4</v>
      </c>
      <c r="C265" s="3" t="s">
        <v>148</v>
      </c>
      <c r="D265" s="3" t="s">
        <v>143</v>
      </c>
      <c r="E265" s="3" t="s">
        <v>144</v>
      </c>
      <c r="F265" s="3" t="s">
        <v>124</v>
      </c>
      <c r="G265" s="3" t="s">
        <v>577</v>
      </c>
      <c r="H265" s="3" t="s">
        <v>30</v>
      </c>
      <c r="I265" s="3" t="s">
        <v>61</v>
      </c>
      <c r="J265" s="3" t="s">
        <v>32</v>
      </c>
      <c r="K265" s="8">
        <v>44127.865277777775</v>
      </c>
      <c r="L265" s="8">
        <v>44110.708333333336</v>
      </c>
      <c r="M265" s="3">
        <v>0</v>
      </c>
      <c r="N265" s="3">
        <v>1</v>
      </c>
      <c r="O265" s="3" t="s">
        <v>33</v>
      </c>
      <c r="P265" s="10" t="s">
        <v>576</v>
      </c>
      <c r="Q265" s="3" t="s">
        <v>46</v>
      </c>
      <c r="R265" s="3">
        <v>4</v>
      </c>
      <c r="S265" s="3">
        <v>0</v>
      </c>
      <c r="T265" s="3" t="s">
        <v>54</v>
      </c>
      <c r="U265" s="3" t="s">
        <v>55</v>
      </c>
      <c r="V265" s="3" t="s">
        <v>37</v>
      </c>
      <c r="W265" s="11" cm="1">
        <f t="array" ref="W265">IF(H265="Request","No SLA for Request", IF(F265="Emergency",B265+(4/24), WORKDAY(B265, _xlfn.IFS(F265="High", 3, F265="Normal", 5, F265="Low", 10))))</f>
        <v>44116</v>
      </c>
      <c r="X265" t="str">
        <f t="shared" si="4"/>
        <v>Yes</v>
      </c>
    </row>
    <row r="266" spans="1:24" ht="12.75" x14ac:dyDescent="0.2">
      <c r="A266" s="3">
        <v>111509</v>
      </c>
      <c r="B266" s="8">
        <v>44102.566666666666</v>
      </c>
      <c r="C266" s="3" t="s">
        <v>384</v>
      </c>
      <c r="D266" s="3" t="s">
        <v>143</v>
      </c>
      <c r="E266" s="3" t="s">
        <v>144</v>
      </c>
      <c r="F266" s="3" t="s">
        <v>124</v>
      </c>
      <c r="G266" s="3" t="s">
        <v>577</v>
      </c>
      <c r="H266" s="3" t="s">
        <v>53</v>
      </c>
      <c r="I266" s="3" t="s">
        <v>68</v>
      </c>
      <c r="J266" s="3" t="s">
        <v>32</v>
      </c>
      <c r="K266" s="8">
        <v>44127.863888888889</v>
      </c>
      <c r="L266" s="8">
        <v>44103.708333333336</v>
      </c>
      <c r="M266" s="3">
        <v>0</v>
      </c>
      <c r="N266" s="3">
        <v>1</v>
      </c>
      <c r="O266" s="3" t="s">
        <v>33</v>
      </c>
      <c r="P266" s="10" t="s">
        <v>576</v>
      </c>
      <c r="Q266" s="3" t="s">
        <v>46</v>
      </c>
      <c r="R266" s="3">
        <v>4</v>
      </c>
      <c r="S266" s="3">
        <v>0</v>
      </c>
      <c r="T266" s="3" t="s">
        <v>54</v>
      </c>
      <c r="U266" s="3" t="s">
        <v>55</v>
      </c>
      <c r="V266" s="3" t="s">
        <v>37</v>
      </c>
      <c r="W266" s="11" t="str" cm="1">
        <f t="array" ref="W266">IF(H266="Request","No SLA for Request", IF(F266="Emergency",B266+(4/24), WORKDAY(B266, _xlfn.IFS(F266="High", 3, F266="Normal", 5, F266="Low", 10))))</f>
        <v>No SLA for Request</v>
      </c>
      <c r="X266" t="str">
        <f t="shared" si="4"/>
        <v>N/A</v>
      </c>
    </row>
    <row r="267" spans="1:24" ht="12.75" x14ac:dyDescent="0.2">
      <c r="A267" s="3">
        <v>111524</v>
      </c>
      <c r="B267" s="8">
        <v>44109.791666666664</v>
      </c>
      <c r="C267" s="3" t="s">
        <v>198</v>
      </c>
      <c r="D267" s="3" t="s">
        <v>49</v>
      </c>
      <c r="E267" s="3" t="s">
        <v>50</v>
      </c>
      <c r="F267" s="3" t="s">
        <v>124</v>
      </c>
      <c r="G267" s="3" t="s">
        <v>29</v>
      </c>
      <c r="H267" s="3" t="s">
        <v>30</v>
      </c>
      <c r="I267" s="3" t="s">
        <v>31</v>
      </c>
      <c r="J267" s="3" t="s">
        <v>32</v>
      </c>
      <c r="K267" s="8">
        <v>44120.583333333336</v>
      </c>
      <c r="L267" s="12" t="s">
        <v>576</v>
      </c>
      <c r="M267" s="3">
        <v>0</v>
      </c>
      <c r="N267" s="3">
        <v>1</v>
      </c>
      <c r="O267" s="3" t="s">
        <v>33</v>
      </c>
      <c r="P267" s="10" t="s">
        <v>576</v>
      </c>
      <c r="Q267" s="3" t="s">
        <v>34</v>
      </c>
      <c r="R267" s="3">
        <v>8</v>
      </c>
      <c r="S267" s="3">
        <v>3</v>
      </c>
      <c r="T267" s="3" t="s">
        <v>35</v>
      </c>
      <c r="U267" s="3" t="s">
        <v>36</v>
      </c>
      <c r="V267" s="3" t="s">
        <v>37</v>
      </c>
      <c r="W267" s="11" cm="1">
        <f t="array" ref="W267">IF(H267="Request","No SLA for Request", IF(F267="Emergency",B267+(4/24), WORKDAY(B267, _xlfn.IFS(F267="High", 3, F267="Normal", 5, F267="Low", 10))))</f>
        <v>44116</v>
      </c>
      <c r="X267" t="str">
        <f t="shared" si="4"/>
        <v>Yes</v>
      </c>
    </row>
    <row r="268" spans="1:24" ht="12.75" x14ac:dyDescent="0.2">
      <c r="A268" s="3">
        <v>111525</v>
      </c>
      <c r="B268" s="8">
        <v>44109.815972222219</v>
      </c>
      <c r="C268" s="3" t="s">
        <v>385</v>
      </c>
      <c r="D268" s="3" t="s">
        <v>49</v>
      </c>
      <c r="E268" s="3" t="s">
        <v>50</v>
      </c>
      <c r="F268" s="3" t="s">
        <v>124</v>
      </c>
      <c r="G268" s="3" t="s">
        <v>29</v>
      </c>
      <c r="H268" s="3" t="s">
        <v>30</v>
      </c>
      <c r="I268" s="3" t="s">
        <v>31</v>
      </c>
      <c r="J268" s="3" t="s">
        <v>32</v>
      </c>
      <c r="K268" s="8">
        <v>44120.581250000003</v>
      </c>
      <c r="L268" s="12" t="s">
        <v>576</v>
      </c>
      <c r="M268" s="3">
        <v>0</v>
      </c>
      <c r="N268" s="3">
        <v>1</v>
      </c>
      <c r="O268" s="3" t="s">
        <v>33</v>
      </c>
      <c r="P268" s="10" t="s">
        <v>576</v>
      </c>
      <c r="Q268" s="3" t="s">
        <v>34</v>
      </c>
      <c r="R268" s="3">
        <v>6</v>
      </c>
      <c r="S268" s="3">
        <v>2</v>
      </c>
      <c r="T268" s="3" t="s">
        <v>35</v>
      </c>
      <c r="U268" s="3" t="s">
        <v>36</v>
      </c>
      <c r="V268" s="3" t="s">
        <v>37</v>
      </c>
      <c r="W268" s="11" cm="1">
        <f t="array" ref="W268">IF(H268="Request","No SLA for Request", IF(F268="Emergency",B268+(4/24), WORKDAY(B268, _xlfn.IFS(F268="High", 3, F268="Normal", 5, F268="Low", 10))))</f>
        <v>44116</v>
      </c>
      <c r="X268" t="str">
        <f t="shared" si="4"/>
        <v>Yes</v>
      </c>
    </row>
    <row r="269" spans="1:24" ht="12.75" x14ac:dyDescent="0.2">
      <c r="A269" s="3">
        <v>111526</v>
      </c>
      <c r="B269" s="8">
        <v>44109.834722222222</v>
      </c>
      <c r="C269" s="3" t="s">
        <v>199</v>
      </c>
      <c r="D269" s="3" t="s">
        <v>49</v>
      </c>
      <c r="E269" s="3" t="s">
        <v>50</v>
      </c>
      <c r="F269" s="3" t="s">
        <v>124</v>
      </c>
      <c r="G269" s="3" t="s">
        <v>29</v>
      </c>
      <c r="H269" s="3" t="s">
        <v>30</v>
      </c>
      <c r="I269" s="3" t="s">
        <v>31</v>
      </c>
      <c r="J269" s="3" t="s">
        <v>32</v>
      </c>
      <c r="K269" s="8">
        <v>44120.580555555556</v>
      </c>
      <c r="L269" s="12" t="s">
        <v>576</v>
      </c>
      <c r="M269" s="3">
        <v>0</v>
      </c>
      <c r="N269" s="3">
        <v>1</v>
      </c>
      <c r="O269" s="3" t="s">
        <v>33</v>
      </c>
      <c r="P269" s="10" t="s">
        <v>576</v>
      </c>
      <c r="Q269" s="3" t="s">
        <v>34</v>
      </c>
      <c r="R269" s="3">
        <v>6</v>
      </c>
      <c r="S269" s="3">
        <v>2</v>
      </c>
      <c r="T269" s="3" t="s">
        <v>35</v>
      </c>
      <c r="U269" s="3" t="s">
        <v>36</v>
      </c>
      <c r="V269" s="3" t="s">
        <v>37</v>
      </c>
      <c r="W269" s="11" cm="1">
        <f t="array" ref="W269">IF(H269="Request","No SLA for Request", IF(F269="Emergency",B269+(4/24), WORKDAY(B269, _xlfn.IFS(F269="High", 3, F269="Normal", 5, F269="Low", 10))))</f>
        <v>44116</v>
      </c>
      <c r="X269" t="str">
        <f t="shared" si="4"/>
        <v>Yes</v>
      </c>
    </row>
    <row r="270" spans="1:24" ht="12.75" x14ac:dyDescent="0.2">
      <c r="A270" s="3">
        <v>111523</v>
      </c>
      <c r="B270" s="8">
        <v>44109.790277777778</v>
      </c>
      <c r="C270" s="3" t="s">
        <v>245</v>
      </c>
      <c r="D270" s="3" t="s">
        <v>49</v>
      </c>
      <c r="E270" s="3" t="s">
        <v>50</v>
      </c>
      <c r="F270" s="3" t="s">
        <v>124</v>
      </c>
      <c r="G270" s="3" t="s">
        <v>29</v>
      </c>
      <c r="H270" s="3" t="s">
        <v>30</v>
      </c>
      <c r="I270" s="3" t="s">
        <v>31</v>
      </c>
      <c r="J270" s="3" t="s">
        <v>32</v>
      </c>
      <c r="K270" s="8">
        <v>44118.722222222219</v>
      </c>
      <c r="L270" s="12" t="s">
        <v>576</v>
      </c>
      <c r="M270" s="3">
        <v>0</v>
      </c>
      <c r="N270" s="3">
        <v>1</v>
      </c>
      <c r="O270" s="3" t="s">
        <v>33</v>
      </c>
      <c r="P270" s="10" t="s">
        <v>576</v>
      </c>
      <c r="Q270" s="3" t="s">
        <v>34</v>
      </c>
      <c r="R270" s="3">
        <v>6</v>
      </c>
      <c r="S270" s="3">
        <v>2</v>
      </c>
      <c r="T270" s="3" t="s">
        <v>35</v>
      </c>
      <c r="U270" s="3" t="s">
        <v>36</v>
      </c>
      <c r="V270" s="3" t="s">
        <v>37</v>
      </c>
      <c r="W270" s="11" cm="1">
        <f t="array" ref="W270">IF(H270="Request","No SLA for Request", IF(F270="Emergency",B270+(4/24), WORKDAY(B270, _xlfn.IFS(F270="High", 3, F270="Normal", 5, F270="Low", 10))))</f>
        <v>44116</v>
      </c>
      <c r="X270" t="str">
        <f t="shared" si="4"/>
        <v>Yes</v>
      </c>
    </row>
    <row r="271" spans="1:24" ht="12.75" x14ac:dyDescent="0.2">
      <c r="A271" s="3">
        <v>111522</v>
      </c>
      <c r="B271" s="8">
        <v>44109.788888888892</v>
      </c>
      <c r="C271" s="3" t="s">
        <v>200</v>
      </c>
      <c r="D271" s="3" t="s">
        <v>49</v>
      </c>
      <c r="E271" s="3" t="s">
        <v>50</v>
      </c>
      <c r="F271" s="3" t="s">
        <v>124</v>
      </c>
      <c r="G271" s="3" t="s">
        <v>29</v>
      </c>
      <c r="H271" s="3" t="s">
        <v>30</v>
      </c>
      <c r="I271" s="3" t="s">
        <v>31</v>
      </c>
      <c r="J271" s="3" t="s">
        <v>32</v>
      </c>
      <c r="K271" s="8">
        <v>44118.72152777778</v>
      </c>
      <c r="L271" s="12" t="s">
        <v>576</v>
      </c>
      <c r="M271" s="3">
        <v>0</v>
      </c>
      <c r="N271" s="3">
        <v>1</v>
      </c>
      <c r="O271" s="3" t="s">
        <v>33</v>
      </c>
      <c r="P271" s="10" t="s">
        <v>576</v>
      </c>
      <c r="Q271" s="3" t="s">
        <v>34</v>
      </c>
      <c r="R271" s="3">
        <v>6</v>
      </c>
      <c r="S271" s="3">
        <v>2</v>
      </c>
      <c r="T271" s="3" t="s">
        <v>35</v>
      </c>
      <c r="U271" s="3" t="s">
        <v>36</v>
      </c>
      <c r="V271" s="3" t="s">
        <v>37</v>
      </c>
      <c r="W271" s="11" cm="1">
        <f t="array" ref="W271">IF(H271="Request","No SLA for Request", IF(F271="Emergency",B271+(4/24), WORKDAY(B271, _xlfn.IFS(F271="High", 3, F271="Normal", 5, F271="Low", 10))))</f>
        <v>44116</v>
      </c>
      <c r="X271" t="str">
        <f t="shared" si="4"/>
        <v>Yes</v>
      </c>
    </row>
    <row r="272" spans="1:24" ht="12.75" x14ac:dyDescent="0.2">
      <c r="A272" s="3">
        <v>111521</v>
      </c>
      <c r="B272" s="8">
        <v>44109.720138888886</v>
      </c>
      <c r="C272" s="3" t="s">
        <v>198</v>
      </c>
      <c r="D272" s="3" t="s">
        <v>49</v>
      </c>
      <c r="E272" s="3" t="s">
        <v>50</v>
      </c>
      <c r="F272" s="3" t="s">
        <v>124</v>
      </c>
      <c r="G272" s="3" t="s">
        <v>29</v>
      </c>
      <c r="H272" s="3" t="s">
        <v>30</v>
      </c>
      <c r="I272" s="3" t="s">
        <v>31</v>
      </c>
      <c r="J272" s="3" t="s">
        <v>32</v>
      </c>
      <c r="K272" s="8">
        <v>44118.720833333333</v>
      </c>
      <c r="L272" s="12" t="s">
        <v>576</v>
      </c>
      <c r="M272" s="3">
        <v>0</v>
      </c>
      <c r="N272" s="3">
        <v>1</v>
      </c>
      <c r="O272" s="3" t="s">
        <v>33</v>
      </c>
      <c r="P272" s="10" t="s">
        <v>576</v>
      </c>
      <c r="Q272" s="3" t="s">
        <v>34</v>
      </c>
      <c r="R272" s="3">
        <v>7</v>
      </c>
      <c r="S272" s="3">
        <v>2</v>
      </c>
      <c r="T272" s="3" t="s">
        <v>35</v>
      </c>
      <c r="U272" s="3" t="s">
        <v>36</v>
      </c>
      <c r="V272" s="3" t="s">
        <v>48</v>
      </c>
      <c r="W272" s="11" cm="1">
        <f t="array" ref="W272">IF(H272="Request","No SLA for Request", IF(F272="Emergency",B272+(4/24), WORKDAY(B272, _xlfn.IFS(F272="High", 3, F272="Normal", 5, F272="Low", 10))))</f>
        <v>44116</v>
      </c>
      <c r="X272" t="str">
        <f t="shared" si="4"/>
        <v>Yes</v>
      </c>
    </row>
    <row r="273" spans="1:24" ht="12.75" x14ac:dyDescent="0.2">
      <c r="A273" s="3">
        <v>111519</v>
      </c>
      <c r="B273" s="8">
        <v>44109.673611111109</v>
      </c>
      <c r="C273" s="3" t="s">
        <v>201</v>
      </c>
      <c r="D273" s="3" t="s">
        <v>49</v>
      </c>
      <c r="E273" s="3" t="s">
        <v>50</v>
      </c>
      <c r="F273" s="3" t="s">
        <v>124</v>
      </c>
      <c r="G273" s="3" t="s">
        <v>29</v>
      </c>
      <c r="H273" s="3" t="s">
        <v>30</v>
      </c>
      <c r="I273" s="3" t="s">
        <v>31</v>
      </c>
      <c r="J273" s="3" t="s">
        <v>32</v>
      </c>
      <c r="K273" s="8">
        <v>44118.720138888886</v>
      </c>
      <c r="L273" s="12" t="s">
        <v>576</v>
      </c>
      <c r="M273" s="3">
        <v>0</v>
      </c>
      <c r="N273" s="3">
        <v>1</v>
      </c>
      <c r="O273" s="3" t="s">
        <v>33</v>
      </c>
      <c r="P273" s="10" t="s">
        <v>576</v>
      </c>
      <c r="Q273" s="3" t="s">
        <v>34</v>
      </c>
      <c r="R273" s="3">
        <v>9</v>
      </c>
      <c r="S273" s="3">
        <v>3</v>
      </c>
      <c r="T273" s="3" t="s">
        <v>35</v>
      </c>
      <c r="U273" s="3" t="s">
        <v>36</v>
      </c>
      <c r="V273" s="3" t="s">
        <v>48</v>
      </c>
      <c r="W273" s="11" cm="1">
        <f t="array" ref="W273">IF(H273="Request","No SLA for Request", IF(F273="Emergency",B273+(4/24), WORKDAY(B273, _xlfn.IFS(F273="High", 3, F273="Normal", 5, F273="Low", 10))))</f>
        <v>44116</v>
      </c>
      <c r="X273" t="str">
        <f t="shared" si="4"/>
        <v>Yes</v>
      </c>
    </row>
    <row r="274" spans="1:24" ht="12.75" x14ac:dyDescent="0.2">
      <c r="A274" s="3">
        <v>111507</v>
      </c>
      <c r="B274" s="8">
        <v>44098.424305555556</v>
      </c>
      <c r="C274" s="3" t="s">
        <v>386</v>
      </c>
      <c r="D274" s="3" t="s">
        <v>49</v>
      </c>
      <c r="E274" s="3" t="s">
        <v>50</v>
      </c>
      <c r="F274" s="3" t="s">
        <v>124</v>
      </c>
      <c r="G274" s="3" t="s">
        <v>29</v>
      </c>
      <c r="H274" s="3" t="s">
        <v>30</v>
      </c>
      <c r="I274" s="3" t="s">
        <v>31</v>
      </c>
      <c r="J274" s="3" t="s">
        <v>32</v>
      </c>
      <c r="K274" s="8">
        <v>44118.71875</v>
      </c>
      <c r="L274" s="8">
        <v>44098.924305555556</v>
      </c>
      <c r="M274" s="3">
        <v>0</v>
      </c>
      <c r="N274" s="3">
        <v>1</v>
      </c>
      <c r="O274" s="3" t="s">
        <v>33</v>
      </c>
      <c r="P274" s="10" t="s">
        <v>576</v>
      </c>
      <c r="Q274" s="3" t="s">
        <v>34</v>
      </c>
      <c r="R274" s="3">
        <v>16</v>
      </c>
      <c r="S274" s="3">
        <v>3</v>
      </c>
      <c r="T274" s="3" t="s">
        <v>35</v>
      </c>
      <c r="U274" s="3" t="s">
        <v>36</v>
      </c>
      <c r="V274" s="3" t="s">
        <v>37</v>
      </c>
      <c r="W274" s="11" cm="1">
        <f t="array" ref="W274">IF(H274="Request","No SLA for Request", IF(F274="Emergency",B274+(4/24), WORKDAY(B274, _xlfn.IFS(F274="High", 3, F274="Normal", 5, F274="Low", 10))))</f>
        <v>44105</v>
      </c>
      <c r="X274" t="str">
        <f t="shared" si="4"/>
        <v>Yes</v>
      </c>
    </row>
    <row r="275" spans="1:24" ht="12.75" x14ac:dyDescent="0.2">
      <c r="A275" s="3">
        <v>111484</v>
      </c>
      <c r="B275" s="8">
        <v>44057.416666666664</v>
      </c>
      <c r="C275" s="3" t="s">
        <v>387</v>
      </c>
      <c r="D275" s="3" t="s">
        <v>56</v>
      </c>
      <c r="E275" s="3" t="s">
        <v>57</v>
      </c>
      <c r="F275" s="3" t="s">
        <v>124</v>
      </c>
      <c r="G275" s="3" t="s">
        <v>29</v>
      </c>
      <c r="H275" s="3" t="s">
        <v>53</v>
      </c>
      <c r="I275" s="3" t="s">
        <v>31</v>
      </c>
      <c r="J275" s="3" t="s">
        <v>32</v>
      </c>
      <c r="K275" s="8">
        <v>44118.717361111114</v>
      </c>
      <c r="L275" s="8">
        <v>44057.916666666664</v>
      </c>
      <c r="M275" s="3">
        <v>0</v>
      </c>
      <c r="N275" s="3">
        <v>1</v>
      </c>
      <c r="O275" s="3" t="s">
        <v>33</v>
      </c>
      <c r="P275" s="10" t="s">
        <v>576</v>
      </c>
      <c r="Q275" s="3" t="s">
        <v>43</v>
      </c>
      <c r="R275" s="3">
        <v>12</v>
      </c>
      <c r="S275" s="3">
        <v>0</v>
      </c>
      <c r="T275" s="3" t="s">
        <v>35</v>
      </c>
      <c r="U275" s="3" t="s">
        <v>55</v>
      </c>
      <c r="V275" s="3" t="s">
        <v>37</v>
      </c>
      <c r="W275" s="11" t="str" cm="1">
        <f t="array" ref="W275">IF(H275="Request","No SLA for Request", IF(F275="Emergency",B275+(4/24), WORKDAY(B275, _xlfn.IFS(F275="High", 3, F275="Normal", 5, F275="Low", 10))))</f>
        <v>No SLA for Request</v>
      </c>
      <c r="X275" t="str">
        <f t="shared" si="4"/>
        <v>N/A</v>
      </c>
    </row>
    <row r="276" spans="1:24" ht="12.75" x14ac:dyDescent="0.2">
      <c r="A276" s="3">
        <v>111527</v>
      </c>
      <c r="B276" s="8">
        <v>44110.479861111111</v>
      </c>
      <c r="C276" s="3" t="s">
        <v>149</v>
      </c>
      <c r="D276" s="3" t="s">
        <v>150</v>
      </c>
      <c r="E276" s="3" t="s">
        <v>151</v>
      </c>
      <c r="F276" s="3" t="s">
        <v>124</v>
      </c>
      <c r="G276" s="3" t="s">
        <v>577</v>
      </c>
      <c r="H276" s="3" t="s">
        <v>30</v>
      </c>
      <c r="I276" s="3" t="s">
        <v>61</v>
      </c>
      <c r="J276" s="3" t="s">
        <v>32</v>
      </c>
      <c r="K276" s="8">
        <v>44113.761805555558</v>
      </c>
      <c r="L276" s="8">
        <v>44111.708333333336</v>
      </c>
      <c r="M276" s="3">
        <v>0</v>
      </c>
      <c r="N276" s="3">
        <v>1</v>
      </c>
      <c r="O276" s="3" t="s">
        <v>33</v>
      </c>
      <c r="P276" s="10" t="s">
        <v>576</v>
      </c>
      <c r="Q276" s="3" t="s">
        <v>46</v>
      </c>
      <c r="R276" s="3">
        <v>6</v>
      </c>
      <c r="S276" s="3">
        <v>1</v>
      </c>
      <c r="T276" s="3" t="s">
        <v>54</v>
      </c>
      <c r="U276" s="3" t="s">
        <v>55</v>
      </c>
      <c r="V276" s="3" t="s">
        <v>37</v>
      </c>
      <c r="W276" s="11" cm="1">
        <f t="array" ref="W276">IF(H276="Request","No SLA for Request", IF(F276="Emergency",B276+(4/24), WORKDAY(B276, _xlfn.IFS(F276="High", 3, F276="Normal", 5, F276="Low", 10))))</f>
        <v>44117</v>
      </c>
      <c r="X276" t="str">
        <f t="shared" si="4"/>
        <v>No</v>
      </c>
    </row>
    <row r="277" spans="1:24" ht="12.75" x14ac:dyDescent="0.2">
      <c r="A277" s="3">
        <v>111510</v>
      </c>
      <c r="B277" s="8">
        <v>44102.601388888892</v>
      </c>
      <c r="C277" s="3" t="s">
        <v>617</v>
      </c>
      <c r="D277" s="3" t="s">
        <v>96</v>
      </c>
      <c r="E277" s="3" t="s">
        <v>97</v>
      </c>
      <c r="F277" s="3" t="s">
        <v>124</v>
      </c>
      <c r="G277" s="3" t="s">
        <v>29</v>
      </c>
      <c r="H277" s="3" t="s">
        <v>53</v>
      </c>
      <c r="I277" s="3" t="s">
        <v>31</v>
      </c>
      <c r="J277" s="3" t="s">
        <v>32</v>
      </c>
      <c r="K277" s="8">
        <v>44111.665277777778</v>
      </c>
      <c r="L277" s="8">
        <v>44103.101388888892</v>
      </c>
      <c r="M277" s="3">
        <v>0</v>
      </c>
      <c r="N277" s="3">
        <v>1</v>
      </c>
      <c r="O277" s="3" t="s">
        <v>33</v>
      </c>
      <c r="P277" s="10" t="s">
        <v>576</v>
      </c>
      <c r="Q277" s="3" t="s">
        <v>43</v>
      </c>
      <c r="R277" s="3">
        <v>8</v>
      </c>
      <c r="S277" s="3">
        <v>5</v>
      </c>
      <c r="T277" s="3" t="s">
        <v>54</v>
      </c>
      <c r="U277" s="3" t="s">
        <v>55</v>
      </c>
      <c r="V277" s="3" t="s">
        <v>48</v>
      </c>
      <c r="W277" s="11" t="str" cm="1">
        <f t="array" ref="W277">IF(H277="Request","No SLA for Request", IF(F277="Emergency",B277+(4/24), WORKDAY(B277, _xlfn.IFS(F277="High", 3, F277="Normal", 5, F277="Low", 10))))</f>
        <v>No SLA for Request</v>
      </c>
      <c r="X277" t="str">
        <f t="shared" si="4"/>
        <v>N/A</v>
      </c>
    </row>
    <row r="278" spans="1:24" ht="12.75" x14ac:dyDescent="0.2">
      <c r="A278" s="3">
        <v>111512</v>
      </c>
      <c r="B278" s="8">
        <v>44104.484722222223</v>
      </c>
      <c r="C278" s="3" t="s">
        <v>388</v>
      </c>
      <c r="D278" s="3" t="s">
        <v>152</v>
      </c>
      <c r="E278" s="3" t="s">
        <v>618</v>
      </c>
      <c r="F278" s="3" t="s">
        <v>124</v>
      </c>
      <c r="G278" s="3" t="s">
        <v>577</v>
      </c>
      <c r="H278" s="3" t="s">
        <v>30</v>
      </c>
      <c r="I278" s="3" t="s">
        <v>61</v>
      </c>
      <c r="J278" s="3" t="s">
        <v>51</v>
      </c>
      <c r="K278" s="8">
        <v>44104.484722222223</v>
      </c>
      <c r="L278" s="8">
        <v>44105.708333333336</v>
      </c>
      <c r="M278" s="3">
        <v>1</v>
      </c>
      <c r="N278" s="3">
        <v>1</v>
      </c>
      <c r="O278" s="3" t="s">
        <v>85</v>
      </c>
      <c r="P278" s="10" t="s">
        <v>576</v>
      </c>
      <c r="Q278" s="3" t="s">
        <v>46</v>
      </c>
      <c r="R278" s="3">
        <v>2</v>
      </c>
      <c r="S278" s="3">
        <v>0</v>
      </c>
      <c r="T278" s="3" t="s">
        <v>54</v>
      </c>
      <c r="U278" s="3" t="s">
        <v>55</v>
      </c>
      <c r="V278" s="3" t="s">
        <v>37</v>
      </c>
      <c r="W278" s="11" cm="1">
        <f t="array" ref="W278">IF(H278="Request","No SLA for Request", IF(F278="Emergency",B278+(4/24), WORKDAY(B278, _xlfn.IFS(F278="High", 3, F278="Normal", 5, F278="Low", 10))))</f>
        <v>44111</v>
      </c>
      <c r="X278" t="str">
        <f t="shared" si="4"/>
        <v>No</v>
      </c>
    </row>
    <row r="279" spans="1:24" ht="12.75" x14ac:dyDescent="0.2">
      <c r="A279" s="3">
        <v>111504</v>
      </c>
      <c r="B279" s="8">
        <v>44088.551388888889</v>
      </c>
      <c r="C279" s="3" t="s">
        <v>389</v>
      </c>
      <c r="D279" s="3" t="s">
        <v>143</v>
      </c>
      <c r="E279" s="3" t="s">
        <v>144</v>
      </c>
      <c r="F279" s="3" t="s">
        <v>124</v>
      </c>
      <c r="G279" s="3" t="s">
        <v>577</v>
      </c>
      <c r="H279" s="3" t="s">
        <v>30</v>
      </c>
      <c r="I279" s="3" t="s">
        <v>68</v>
      </c>
      <c r="J279" s="3" t="s">
        <v>32</v>
      </c>
      <c r="K279" s="8">
        <v>44099.400694444441</v>
      </c>
      <c r="L279" s="8">
        <v>44089.708333333336</v>
      </c>
      <c r="M279" s="3">
        <v>0</v>
      </c>
      <c r="N279" s="3">
        <v>1</v>
      </c>
      <c r="O279" s="3" t="s">
        <v>33</v>
      </c>
      <c r="P279" s="10" t="s">
        <v>576</v>
      </c>
      <c r="Q279" s="3" t="s">
        <v>46</v>
      </c>
      <c r="R279" s="3">
        <v>5</v>
      </c>
      <c r="S279" s="3">
        <v>0</v>
      </c>
      <c r="T279" s="3" t="s">
        <v>54</v>
      </c>
      <c r="U279" s="3" t="s">
        <v>55</v>
      </c>
      <c r="V279" s="3" t="s">
        <v>37</v>
      </c>
      <c r="W279" s="11" cm="1">
        <f t="array" ref="W279">IF(H279="Request","No SLA for Request", IF(F279="Emergency",B279+(4/24), WORKDAY(B279, _xlfn.IFS(F279="High", 3, F279="Normal", 5, F279="Low", 10))))</f>
        <v>44095</v>
      </c>
      <c r="X279" t="str">
        <f t="shared" si="4"/>
        <v>Yes</v>
      </c>
    </row>
    <row r="280" spans="1:24" ht="12.75" x14ac:dyDescent="0.2">
      <c r="A280" s="3">
        <v>111475</v>
      </c>
      <c r="B280" s="8">
        <v>44033.7</v>
      </c>
      <c r="C280" s="3" t="s">
        <v>619</v>
      </c>
      <c r="D280" s="3" t="s">
        <v>52</v>
      </c>
      <c r="E280" s="3" t="s">
        <v>580</v>
      </c>
      <c r="F280" s="3" t="s">
        <v>124</v>
      </c>
      <c r="G280" s="3" t="s">
        <v>29</v>
      </c>
      <c r="H280" s="3" t="s">
        <v>53</v>
      </c>
      <c r="I280" s="3" t="s">
        <v>31</v>
      </c>
      <c r="J280" s="3" t="s">
        <v>32</v>
      </c>
      <c r="K280" s="8">
        <v>44095.734722222223</v>
      </c>
      <c r="L280" s="8">
        <v>44034.2</v>
      </c>
      <c r="M280" s="3">
        <v>0</v>
      </c>
      <c r="N280" s="3">
        <v>1</v>
      </c>
      <c r="O280" s="3" t="s">
        <v>33</v>
      </c>
      <c r="P280" s="10" t="s">
        <v>576</v>
      </c>
      <c r="Q280" s="3" t="s">
        <v>43</v>
      </c>
      <c r="R280" s="3">
        <v>12</v>
      </c>
      <c r="S280" s="3">
        <v>3</v>
      </c>
      <c r="T280" s="3" t="s">
        <v>54</v>
      </c>
      <c r="U280" s="3" t="s">
        <v>55</v>
      </c>
      <c r="V280" s="3" t="s">
        <v>48</v>
      </c>
      <c r="W280" s="11" t="str" cm="1">
        <f t="array" ref="W280">IF(H280="Request","No SLA for Request", IF(F280="Emergency",B280+(4/24), WORKDAY(B280, _xlfn.IFS(F280="High", 3, F280="Normal", 5, F280="Low", 10))))</f>
        <v>No SLA for Request</v>
      </c>
      <c r="X280" t="str">
        <f t="shared" si="4"/>
        <v>N/A</v>
      </c>
    </row>
    <row r="281" spans="1:24" ht="12.75" x14ac:dyDescent="0.2">
      <c r="A281" s="3">
        <v>111499</v>
      </c>
      <c r="B281" s="8">
        <v>44076.592361111114</v>
      </c>
      <c r="C281" s="3" t="s">
        <v>390</v>
      </c>
      <c r="D281" s="3" t="s">
        <v>39</v>
      </c>
      <c r="E281" s="3" t="s">
        <v>40</v>
      </c>
      <c r="F281" s="3" t="s">
        <v>124</v>
      </c>
      <c r="G281" s="3" t="s">
        <v>577</v>
      </c>
      <c r="H281" s="3" t="s">
        <v>53</v>
      </c>
      <c r="I281" s="3" t="s">
        <v>31</v>
      </c>
      <c r="J281" s="3" t="s">
        <v>32</v>
      </c>
      <c r="K281" s="8">
        <v>44095.710416666669</v>
      </c>
      <c r="L281" s="8">
        <v>44077.092361111114</v>
      </c>
      <c r="M281" s="3">
        <v>0</v>
      </c>
      <c r="N281" s="3">
        <v>1</v>
      </c>
      <c r="O281" s="3" t="s">
        <v>33</v>
      </c>
      <c r="P281" s="10" t="s">
        <v>576</v>
      </c>
      <c r="Q281" s="3" t="s">
        <v>153</v>
      </c>
      <c r="R281" s="3">
        <v>4</v>
      </c>
      <c r="S281" s="3">
        <v>0</v>
      </c>
      <c r="T281" s="3" t="s">
        <v>35</v>
      </c>
      <c r="U281" s="3" t="s">
        <v>36</v>
      </c>
      <c r="V281" s="3" t="s">
        <v>37</v>
      </c>
      <c r="W281" s="11" t="str" cm="1">
        <f t="array" ref="W281">IF(H281="Request","No SLA for Request", IF(F281="Emergency",B281+(4/24), WORKDAY(B281, _xlfn.IFS(F281="High", 3, F281="Normal", 5, F281="Low", 10))))</f>
        <v>No SLA for Request</v>
      </c>
      <c r="X281" t="str">
        <f t="shared" si="4"/>
        <v>N/A</v>
      </c>
    </row>
    <row r="282" spans="1:24" ht="12.75" x14ac:dyDescent="0.2">
      <c r="A282" s="3">
        <v>111473</v>
      </c>
      <c r="B282" s="8">
        <v>44032.679861111108</v>
      </c>
      <c r="C282" s="3" t="s">
        <v>620</v>
      </c>
      <c r="D282" s="3" t="s">
        <v>96</v>
      </c>
      <c r="E282" s="3" t="s">
        <v>97</v>
      </c>
      <c r="F282" s="3" t="s">
        <v>124</v>
      </c>
      <c r="G282" s="3" t="s">
        <v>29</v>
      </c>
      <c r="H282" s="3" t="s">
        <v>30</v>
      </c>
      <c r="I282" s="3" t="s">
        <v>31</v>
      </c>
      <c r="J282" s="3" t="s">
        <v>32</v>
      </c>
      <c r="K282" s="8">
        <v>44090.743750000001</v>
      </c>
      <c r="L282" s="8">
        <v>44033.179861111108</v>
      </c>
      <c r="M282" s="3">
        <v>0</v>
      </c>
      <c r="N282" s="3">
        <v>1</v>
      </c>
      <c r="O282" s="3" t="s">
        <v>33</v>
      </c>
      <c r="P282" s="10" t="s">
        <v>576</v>
      </c>
      <c r="Q282" s="3" t="s">
        <v>43</v>
      </c>
      <c r="R282" s="3">
        <v>49</v>
      </c>
      <c r="S282" s="3">
        <v>5</v>
      </c>
      <c r="T282" s="3" t="s">
        <v>54</v>
      </c>
      <c r="U282" s="3" t="s">
        <v>62</v>
      </c>
      <c r="V282" s="3" t="s">
        <v>48</v>
      </c>
      <c r="W282" s="11" cm="1">
        <f t="array" ref="W282">IF(H282="Request","No SLA for Request", IF(F282="Emergency",B282+(4/24), WORKDAY(B282, _xlfn.IFS(F282="High", 3, F282="Normal", 5, F282="Low", 10))))</f>
        <v>44039</v>
      </c>
      <c r="X282" t="str">
        <f t="shared" si="4"/>
        <v>Yes</v>
      </c>
    </row>
    <row r="283" spans="1:24" ht="12.75" x14ac:dyDescent="0.2">
      <c r="A283" s="3">
        <v>111497</v>
      </c>
      <c r="B283" s="8">
        <v>44070.311805555553</v>
      </c>
      <c r="C283" s="3" t="s">
        <v>358</v>
      </c>
      <c r="D283" s="3" t="s">
        <v>39</v>
      </c>
      <c r="E283" s="3" t="s">
        <v>40</v>
      </c>
      <c r="F283" s="3" t="s">
        <v>124</v>
      </c>
      <c r="G283" s="3" t="s">
        <v>577</v>
      </c>
      <c r="H283" s="3" t="s">
        <v>53</v>
      </c>
      <c r="I283" s="3" t="s">
        <v>31</v>
      </c>
      <c r="J283" s="3" t="s">
        <v>32</v>
      </c>
      <c r="K283" s="8">
        <v>44085.720833333333</v>
      </c>
      <c r="L283" s="8">
        <v>44070.811805555553</v>
      </c>
      <c r="M283" s="3">
        <v>0</v>
      </c>
      <c r="N283" s="3">
        <v>1</v>
      </c>
      <c r="O283" s="3" t="s">
        <v>33</v>
      </c>
      <c r="P283" s="10" t="s">
        <v>576</v>
      </c>
      <c r="Q283" s="3" t="s">
        <v>153</v>
      </c>
      <c r="R283" s="3">
        <v>4</v>
      </c>
      <c r="S283" s="3">
        <v>0</v>
      </c>
      <c r="T283" s="3" t="s">
        <v>35</v>
      </c>
      <c r="U283" s="3" t="s">
        <v>36</v>
      </c>
      <c r="V283" s="3" t="s">
        <v>37</v>
      </c>
      <c r="W283" s="11" t="str" cm="1">
        <f t="array" ref="W283">IF(H283="Request","No SLA for Request", IF(F283="Emergency",B283+(4/24), WORKDAY(B283, _xlfn.IFS(F283="High", 3, F283="Normal", 5, F283="Low", 10))))</f>
        <v>No SLA for Request</v>
      </c>
      <c r="X283" t="str">
        <f t="shared" si="4"/>
        <v>N/A</v>
      </c>
    </row>
    <row r="284" spans="1:24" ht="12.75" x14ac:dyDescent="0.2">
      <c r="A284" s="3">
        <v>111500</v>
      </c>
      <c r="B284" s="8">
        <v>44078.387499999997</v>
      </c>
      <c r="C284" s="3" t="s">
        <v>391</v>
      </c>
      <c r="D284" s="3" t="s">
        <v>26</v>
      </c>
      <c r="E284" s="3" t="s">
        <v>27</v>
      </c>
      <c r="F284" s="3" t="s">
        <v>124</v>
      </c>
      <c r="G284" s="3" t="s">
        <v>29</v>
      </c>
      <c r="H284" s="3" t="s">
        <v>30</v>
      </c>
      <c r="I284" s="3" t="s">
        <v>31</v>
      </c>
      <c r="J284" s="3" t="s">
        <v>32</v>
      </c>
      <c r="K284" s="8">
        <v>44085.611111111109</v>
      </c>
      <c r="L284" s="8">
        <v>44078.887499999997</v>
      </c>
      <c r="M284" s="3">
        <v>0</v>
      </c>
      <c r="N284" s="3">
        <v>1</v>
      </c>
      <c r="O284" s="3" t="s">
        <v>33</v>
      </c>
      <c r="P284" s="10" t="s">
        <v>576</v>
      </c>
      <c r="Q284" s="3" t="s">
        <v>34</v>
      </c>
      <c r="R284" s="3">
        <v>5</v>
      </c>
      <c r="S284" s="3">
        <v>1</v>
      </c>
      <c r="T284" s="3" t="s">
        <v>35</v>
      </c>
      <c r="U284" s="3" t="s">
        <v>36</v>
      </c>
      <c r="V284" s="3" t="s">
        <v>37</v>
      </c>
      <c r="W284" s="11" cm="1">
        <f t="array" ref="W284">IF(H284="Request","No SLA for Request", IF(F284="Emergency",B284+(4/24), WORKDAY(B284, _xlfn.IFS(F284="High", 3, F284="Normal", 5, F284="Low", 10))))</f>
        <v>44085</v>
      </c>
      <c r="X284" t="str">
        <f t="shared" si="4"/>
        <v>Yes</v>
      </c>
    </row>
    <row r="285" spans="1:24" ht="12.75" x14ac:dyDescent="0.2">
      <c r="A285" s="3">
        <v>111494</v>
      </c>
      <c r="B285" s="8">
        <v>44066.502083333333</v>
      </c>
      <c r="C285" s="3" t="s">
        <v>392</v>
      </c>
      <c r="D285" s="3" t="s">
        <v>47</v>
      </c>
      <c r="E285" s="3" t="s">
        <v>578</v>
      </c>
      <c r="F285" s="3" t="s">
        <v>124</v>
      </c>
      <c r="G285" s="3" t="s">
        <v>29</v>
      </c>
      <c r="H285" s="3" t="s">
        <v>30</v>
      </c>
      <c r="I285" s="3" t="s">
        <v>31</v>
      </c>
      <c r="J285" s="3" t="s">
        <v>32</v>
      </c>
      <c r="K285" s="8">
        <v>44083.743750000001</v>
      </c>
      <c r="L285" s="8">
        <v>44067.002083333333</v>
      </c>
      <c r="M285" s="3">
        <v>0</v>
      </c>
      <c r="N285" s="3">
        <v>1</v>
      </c>
      <c r="O285" s="3" t="s">
        <v>33</v>
      </c>
      <c r="P285" s="10" t="s">
        <v>576</v>
      </c>
      <c r="Q285" s="3" t="s">
        <v>43</v>
      </c>
      <c r="R285" s="3">
        <v>7</v>
      </c>
      <c r="S285" s="3">
        <v>1</v>
      </c>
      <c r="T285" s="3" t="s">
        <v>54</v>
      </c>
      <c r="U285" s="3" t="s">
        <v>55</v>
      </c>
      <c r="V285" s="3" t="s">
        <v>48</v>
      </c>
      <c r="W285" s="11" cm="1">
        <f t="array" ref="W285">IF(H285="Request","No SLA for Request", IF(F285="Emergency",B285+(4/24), WORKDAY(B285, _xlfn.IFS(F285="High", 3, F285="Normal", 5, F285="Low", 10))))</f>
        <v>44071</v>
      </c>
      <c r="X285" t="str">
        <f t="shared" si="4"/>
        <v>Yes</v>
      </c>
    </row>
    <row r="286" spans="1:24" ht="12.75" x14ac:dyDescent="0.2">
      <c r="A286" s="3">
        <v>111496</v>
      </c>
      <c r="B286" s="8">
        <v>44068.459027777775</v>
      </c>
      <c r="C286" s="3" t="s">
        <v>393</v>
      </c>
      <c r="D286" s="3" t="s">
        <v>39</v>
      </c>
      <c r="E286" s="3" t="s">
        <v>40</v>
      </c>
      <c r="F286" s="3" t="s">
        <v>124</v>
      </c>
      <c r="G286" s="3" t="s">
        <v>577</v>
      </c>
      <c r="H286" s="3" t="s">
        <v>53</v>
      </c>
      <c r="I286" s="3" t="s">
        <v>31</v>
      </c>
      <c r="J286" s="3" t="s">
        <v>32</v>
      </c>
      <c r="K286" s="8">
        <v>44078.725694444445</v>
      </c>
      <c r="L286" s="8">
        <v>44068.959027777775</v>
      </c>
      <c r="M286" s="3">
        <v>0</v>
      </c>
      <c r="N286" s="3">
        <v>1</v>
      </c>
      <c r="O286" s="3" t="s">
        <v>33</v>
      </c>
      <c r="P286" s="10" t="s">
        <v>576</v>
      </c>
      <c r="Q286" s="3" t="s">
        <v>153</v>
      </c>
      <c r="R286" s="3">
        <v>6</v>
      </c>
      <c r="S286" s="3">
        <v>0</v>
      </c>
      <c r="T286" s="3" t="s">
        <v>35</v>
      </c>
      <c r="U286" s="3" t="s">
        <v>36</v>
      </c>
      <c r="V286" s="3" t="s">
        <v>37</v>
      </c>
      <c r="W286" s="11" t="str" cm="1">
        <f t="array" ref="W286">IF(H286="Request","No SLA for Request", IF(F286="Emergency",B286+(4/24), WORKDAY(B286, _xlfn.IFS(F286="High", 3, F286="Normal", 5, F286="Low", 10))))</f>
        <v>No SLA for Request</v>
      </c>
      <c r="X286" t="str">
        <f t="shared" si="4"/>
        <v>N/A</v>
      </c>
    </row>
    <row r="287" spans="1:24" ht="12.75" x14ac:dyDescent="0.2">
      <c r="A287" s="3">
        <v>111492</v>
      </c>
      <c r="B287" s="8">
        <v>44063.527083333334</v>
      </c>
      <c r="C287" s="3" t="s">
        <v>394</v>
      </c>
      <c r="D287" s="3" t="s">
        <v>39</v>
      </c>
      <c r="E287" s="3" t="s">
        <v>40</v>
      </c>
      <c r="F287" s="3" t="s">
        <v>124</v>
      </c>
      <c r="G287" s="3" t="s">
        <v>577</v>
      </c>
      <c r="H287" s="3" t="s">
        <v>53</v>
      </c>
      <c r="I287" s="3" t="s">
        <v>31</v>
      </c>
      <c r="J287" s="3" t="s">
        <v>32</v>
      </c>
      <c r="K287" s="8">
        <v>44078.725694444445</v>
      </c>
      <c r="L287" s="8">
        <v>44064.027083333334</v>
      </c>
      <c r="M287" s="3">
        <v>0</v>
      </c>
      <c r="N287" s="3">
        <v>1</v>
      </c>
      <c r="O287" s="3" t="s">
        <v>33</v>
      </c>
      <c r="P287" s="10" t="s">
        <v>576</v>
      </c>
      <c r="Q287" s="3" t="s">
        <v>153</v>
      </c>
      <c r="R287" s="3">
        <v>5</v>
      </c>
      <c r="S287" s="3">
        <v>0</v>
      </c>
      <c r="T287" s="3" t="s">
        <v>35</v>
      </c>
      <c r="U287" s="3" t="s">
        <v>36</v>
      </c>
      <c r="V287" s="3" t="s">
        <v>37</v>
      </c>
      <c r="W287" s="11" t="str" cm="1">
        <f t="array" ref="W287">IF(H287="Request","No SLA for Request", IF(F287="Emergency",B287+(4/24), WORKDAY(B287, _xlfn.IFS(F287="High", 3, F287="Normal", 5, F287="Low", 10))))</f>
        <v>No SLA for Request</v>
      </c>
      <c r="X287" t="str">
        <f t="shared" si="4"/>
        <v>N/A</v>
      </c>
    </row>
    <row r="288" spans="1:24" ht="12.75" x14ac:dyDescent="0.2">
      <c r="A288" s="3">
        <v>111490</v>
      </c>
      <c r="B288" s="8">
        <v>44062.509722222225</v>
      </c>
      <c r="C288" s="3" t="s">
        <v>621</v>
      </c>
      <c r="D288" s="3" t="s">
        <v>39</v>
      </c>
      <c r="E288" s="3" t="s">
        <v>40</v>
      </c>
      <c r="F288" s="3" t="s">
        <v>124</v>
      </c>
      <c r="G288" s="3" t="s">
        <v>577</v>
      </c>
      <c r="H288" s="3" t="s">
        <v>53</v>
      </c>
      <c r="I288" s="3" t="s">
        <v>31</v>
      </c>
      <c r="J288" s="3" t="s">
        <v>32</v>
      </c>
      <c r="K288" s="8">
        <v>44069.718055555553</v>
      </c>
      <c r="L288" s="8">
        <v>44063.009722222225</v>
      </c>
      <c r="M288" s="3">
        <v>0</v>
      </c>
      <c r="N288" s="3">
        <v>1</v>
      </c>
      <c r="O288" s="3" t="s">
        <v>33</v>
      </c>
      <c r="P288" s="10" t="s">
        <v>576</v>
      </c>
      <c r="Q288" s="3" t="s">
        <v>153</v>
      </c>
      <c r="R288" s="3">
        <v>5</v>
      </c>
      <c r="S288" s="3">
        <v>0</v>
      </c>
      <c r="T288" s="3" t="s">
        <v>35</v>
      </c>
      <c r="U288" s="3" t="s">
        <v>36</v>
      </c>
      <c r="V288" s="3" t="s">
        <v>37</v>
      </c>
      <c r="W288" s="11" t="str" cm="1">
        <f t="array" ref="W288">IF(H288="Request","No SLA for Request", IF(F288="Emergency",B288+(4/24), WORKDAY(B288, _xlfn.IFS(F288="High", 3, F288="Normal", 5, F288="Low", 10))))</f>
        <v>No SLA for Request</v>
      </c>
      <c r="X288" t="str">
        <f t="shared" si="4"/>
        <v>N/A</v>
      </c>
    </row>
    <row r="289" spans="1:24" ht="12.75" x14ac:dyDescent="0.2">
      <c r="A289" s="3">
        <v>111489</v>
      </c>
      <c r="B289" s="8">
        <v>44061.351388888892</v>
      </c>
      <c r="C289" s="3" t="s">
        <v>395</v>
      </c>
      <c r="D289" s="3" t="s">
        <v>39</v>
      </c>
      <c r="E289" s="3" t="s">
        <v>40</v>
      </c>
      <c r="F289" s="3" t="s">
        <v>124</v>
      </c>
      <c r="G289" s="3" t="s">
        <v>577</v>
      </c>
      <c r="H289" s="3" t="s">
        <v>53</v>
      </c>
      <c r="I289" s="3" t="s">
        <v>31</v>
      </c>
      <c r="J289" s="3" t="s">
        <v>32</v>
      </c>
      <c r="K289" s="8">
        <v>44067.754166666666</v>
      </c>
      <c r="L289" s="8">
        <v>44061.851388888892</v>
      </c>
      <c r="M289" s="3">
        <v>0</v>
      </c>
      <c r="N289" s="3">
        <v>1</v>
      </c>
      <c r="O289" s="3" t="s">
        <v>33</v>
      </c>
      <c r="P289" s="10" t="s">
        <v>576</v>
      </c>
      <c r="Q289" s="3" t="s">
        <v>153</v>
      </c>
      <c r="R289" s="3">
        <v>5</v>
      </c>
      <c r="S289" s="3">
        <v>0</v>
      </c>
      <c r="T289" s="3" t="s">
        <v>35</v>
      </c>
      <c r="U289" s="3" t="s">
        <v>36</v>
      </c>
      <c r="V289" s="3" t="s">
        <v>37</v>
      </c>
      <c r="W289" s="11" t="str" cm="1">
        <f t="array" ref="W289">IF(H289="Request","No SLA for Request", IF(F289="Emergency",B289+(4/24), WORKDAY(B289, _xlfn.IFS(F289="High", 3, F289="Normal", 5, F289="Low", 10))))</f>
        <v>No SLA for Request</v>
      </c>
      <c r="X289" t="str">
        <f t="shared" si="4"/>
        <v>N/A</v>
      </c>
    </row>
    <row r="290" spans="1:24" ht="12.75" x14ac:dyDescent="0.2">
      <c r="A290" s="3">
        <v>111486</v>
      </c>
      <c r="B290" s="8">
        <v>44057.768750000003</v>
      </c>
      <c r="C290" s="3" t="s">
        <v>394</v>
      </c>
      <c r="D290" s="3" t="s">
        <v>39</v>
      </c>
      <c r="E290" s="3" t="s">
        <v>40</v>
      </c>
      <c r="F290" s="3" t="s">
        <v>124</v>
      </c>
      <c r="G290" s="3" t="s">
        <v>577</v>
      </c>
      <c r="H290" s="3" t="s">
        <v>53</v>
      </c>
      <c r="I290" s="3" t="s">
        <v>31</v>
      </c>
      <c r="J290" s="3" t="s">
        <v>32</v>
      </c>
      <c r="K290" s="8">
        <v>44063.693055555559</v>
      </c>
      <c r="L290" s="8">
        <v>44058.268750000003</v>
      </c>
      <c r="M290" s="3">
        <v>0</v>
      </c>
      <c r="N290" s="3">
        <v>1</v>
      </c>
      <c r="O290" s="3" t="s">
        <v>33</v>
      </c>
      <c r="P290" s="10" t="s">
        <v>576</v>
      </c>
      <c r="Q290" s="3" t="s">
        <v>153</v>
      </c>
      <c r="R290" s="3">
        <v>4</v>
      </c>
      <c r="S290" s="3">
        <v>0</v>
      </c>
      <c r="T290" s="3" t="s">
        <v>35</v>
      </c>
      <c r="U290" s="3" t="s">
        <v>36</v>
      </c>
      <c r="V290" s="3" t="s">
        <v>37</v>
      </c>
      <c r="W290" s="11" t="str" cm="1">
        <f t="array" ref="W290">IF(H290="Request","No SLA for Request", IF(F290="Emergency",B290+(4/24), WORKDAY(B290, _xlfn.IFS(F290="High", 3, F290="Normal", 5, F290="Low", 10))))</f>
        <v>No SLA for Request</v>
      </c>
      <c r="X290" t="str">
        <f t="shared" si="4"/>
        <v>N/A</v>
      </c>
    </row>
    <row r="291" spans="1:24" ht="12.75" x14ac:dyDescent="0.2">
      <c r="A291" s="3">
        <v>111485</v>
      </c>
      <c r="B291" s="8">
        <v>44057.524305555555</v>
      </c>
      <c r="C291" s="3" t="s">
        <v>396</v>
      </c>
      <c r="D291" s="3" t="s">
        <v>39</v>
      </c>
      <c r="E291" s="3" t="s">
        <v>40</v>
      </c>
      <c r="F291" s="3" t="s">
        <v>124</v>
      </c>
      <c r="G291" s="3" t="s">
        <v>577</v>
      </c>
      <c r="H291" s="3" t="s">
        <v>53</v>
      </c>
      <c r="I291" s="3" t="s">
        <v>31</v>
      </c>
      <c r="J291" s="3" t="s">
        <v>32</v>
      </c>
      <c r="K291" s="8">
        <v>44063.692361111112</v>
      </c>
      <c r="L291" s="8">
        <v>44058.024305555555</v>
      </c>
      <c r="M291" s="3">
        <v>0</v>
      </c>
      <c r="N291" s="3">
        <v>1</v>
      </c>
      <c r="O291" s="3" t="s">
        <v>33</v>
      </c>
      <c r="P291" s="10" t="s">
        <v>576</v>
      </c>
      <c r="Q291" s="3" t="s">
        <v>77</v>
      </c>
      <c r="R291" s="3">
        <v>5</v>
      </c>
      <c r="S291" s="3">
        <v>0</v>
      </c>
      <c r="T291" s="3" t="s">
        <v>35</v>
      </c>
      <c r="U291" s="3" t="s">
        <v>36</v>
      </c>
      <c r="V291" s="3" t="s">
        <v>37</v>
      </c>
      <c r="W291" s="11" t="str" cm="1">
        <f t="array" ref="W291">IF(H291="Request","No SLA for Request", IF(F291="Emergency",B291+(4/24), WORKDAY(B291, _xlfn.IFS(F291="High", 3, F291="Normal", 5, F291="Low", 10))))</f>
        <v>No SLA for Request</v>
      </c>
      <c r="X291" t="str">
        <f t="shared" si="4"/>
        <v>N/A</v>
      </c>
    </row>
    <row r="292" spans="1:24" ht="12.75" x14ac:dyDescent="0.2">
      <c r="A292" s="3">
        <v>111432</v>
      </c>
      <c r="B292" s="8">
        <v>43985.593055555553</v>
      </c>
      <c r="C292" s="3" t="s">
        <v>397</v>
      </c>
      <c r="D292" s="3" t="s">
        <v>49</v>
      </c>
      <c r="E292" s="3" t="s">
        <v>50</v>
      </c>
      <c r="F292" s="3" t="s">
        <v>124</v>
      </c>
      <c r="G292" s="3" t="s">
        <v>29</v>
      </c>
      <c r="H292" s="3" t="s">
        <v>53</v>
      </c>
      <c r="I292" s="3" t="s">
        <v>31</v>
      </c>
      <c r="J292" s="3" t="s">
        <v>32</v>
      </c>
      <c r="K292" s="8">
        <v>44048.711805555555</v>
      </c>
      <c r="L292" s="8">
        <v>43986.093055555553</v>
      </c>
      <c r="M292" s="3">
        <v>0</v>
      </c>
      <c r="N292" s="3">
        <v>1</v>
      </c>
      <c r="O292" s="3" t="s">
        <v>33</v>
      </c>
      <c r="P292" s="10" t="s">
        <v>576</v>
      </c>
      <c r="Q292" s="3" t="s">
        <v>34</v>
      </c>
      <c r="R292" s="3">
        <v>5</v>
      </c>
      <c r="S292" s="3">
        <v>0</v>
      </c>
      <c r="T292" s="3" t="s">
        <v>54</v>
      </c>
      <c r="U292" s="3" t="s">
        <v>62</v>
      </c>
      <c r="V292" s="3" t="s">
        <v>37</v>
      </c>
      <c r="W292" s="11" t="str" cm="1">
        <f t="array" ref="W292">IF(H292="Request","No SLA for Request", IF(F292="Emergency",B292+(4/24), WORKDAY(B292, _xlfn.IFS(F292="High", 3, F292="Normal", 5, F292="Low", 10))))</f>
        <v>No SLA for Request</v>
      </c>
      <c r="X292" t="str">
        <f t="shared" si="4"/>
        <v>N/A</v>
      </c>
    </row>
    <row r="293" spans="1:24" ht="12.75" x14ac:dyDescent="0.2">
      <c r="A293" s="3">
        <v>111418</v>
      </c>
      <c r="B293" s="8">
        <v>43950.55972222222</v>
      </c>
      <c r="C293" s="3" t="s">
        <v>622</v>
      </c>
      <c r="D293" s="3" t="s">
        <v>96</v>
      </c>
      <c r="E293" s="3" t="s">
        <v>97</v>
      </c>
      <c r="F293" s="3" t="s">
        <v>124</v>
      </c>
      <c r="G293" s="3" t="s">
        <v>29</v>
      </c>
      <c r="H293" s="3" t="s">
        <v>30</v>
      </c>
      <c r="I293" s="3" t="s">
        <v>31</v>
      </c>
      <c r="J293" s="3" t="s">
        <v>32</v>
      </c>
      <c r="K293" s="8">
        <v>44046.508333333331</v>
      </c>
      <c r="L293" s="12" t="s">
        <v>576</v>
      </c>
      <c r="M293" s="3">
        <v>0</v>
      </c>
      <c r="N293" s="3">
        <v>1</v>
      </c>
      <c r="O293" s="3" t="s">
        <v>33</v>
      </c>
      <c r="P293" s="10" t="s">
        <v>576</v>
      </c>
      <c r="Q293" s="3" t="s">
        <v>43</v>
      </c>
      <c r="R293" s="3">
        <v>7</v>
      </c>
      <c r="S293" s="3">
        <v>1</v>
      </c>
      <c r="T293" s="3" t="s">
        <v>54</v>
      </c>
      <c r="U293" s="3" t="s">
        <v>55</v>
      </c>
      <c r="V293" s="3" t="s">
        <v>48</v>
      </c>
      <c r="W293" s="11" cm="1">
        <f t="array" ref="W293">IF(H293="Request","No SLA for Request", IF(F293="Emergency",B293+(4/24), WORKDAY(B293, _xlfn.IFS(F293="High", 3, F293="Normal", 5, F293="Low", 10))))</f>
        <v>43957</v>
      </c>
      <c r="X293" t="str">
        <f t="shared" si="4"/>
        <v>Yes</v>
      </c>
    </row>
    <row r="294" spans="1:24" ht="12.75" x14ac:dyDescent="0.2">
      <c r="A294" s="3">
        <v>111425</v>
      </c>
      <c r="B294" s="8">
        <v>43978.59375</v>
      </c>
      <c r="C294" s="3" t="s">
        <v>398</v>
      </c>
      <c r="D294" s="3" t="s">
        <v>52</v>
      </c>
      <c r="E294" s="3" t="s">
        <v>580</v>
      </c>
      <c r="F294" s="3" t="s">
        <v>124</v>
      </c>
      <c r="G294" s="3" t="s">
        <v>29</v>
      </c>
      <c r="H294" s="3" t="s">
        <v>30</v>
      </c>
      <c r="I294" s="3" t="s">
        <v>31</v>
      </c>
      <c r="J294" s="3" t="s">
        <v>32</v>
      </c>
      <c r="K294" s="8">
        <v>44046.508333333331</v>
      </c>
      <c r="L294" s="8">
        <v>43979.09375</v>
      </c>
      <c r="M294" s="3">
        <v>0</v>
      </c>
      <c r="N294" s="3">
        <v>1</v>
      </c>
      <c r="O294" s="3" t="s">
        <v>33</v>
      </c>
      <c r="P294" s="10" t="s">
        <v>576</v>
      </c>
      <c r="Q294" s="3" t="s">
        <v>43</v>
      </c>
      <c r="R294" s="3">
        <v>10</v>
      </c>
      <c r="S294" s="3">
        <v>3</v>
      </c>
      <c r="T294" s="3" t="s">
        <v>54</v>
      </c>
      <c r="U294" s="3" t="s">
        <v>55</v>
      </c>
      <c r="V294" s="3" t="s">
        <v>48</v>
      </c>
      <c r="W294" s="11" cm="1">
        <f t="array" ref="W294">IF(H294="Request","No SLA for Request", IF(F294="Emergency",B294+(4/24), WORKDAY(B294, _xlfn.IFS(F294="High", 3, F294="Normal", 5, F294="Low", 10))))</f>
        <v>43985</v>
      </c>
      <c r="X294" t="str">
        <f t="shared" si="4"/>
        <v>Yes</v>
      </c>
    </row>
    <row r="295" spans="1:24" ht="12.75" x14ac:dyDescent="0.2">
      <c r="A295" s="3">
        <v>111443</v>
      </c>
      <c r="B295" s="8">
        <v>43997.497916666667</v>
      </c>
      <c r="C295" s="3" t="s">
        <v>154</v>
      </c>
      <c r="D295" s="3" t="s">
        <v>90</v>
      </c>
      <c r="E295" s="3" t="s">
        <v>91</v>
      </c>
      <c r="F295" s="3" t="s">
        <v>124</v>
      </c>
      <c r="G295" s="3" t="s">
        <v>29</v>
      </c>
      <c r="H295" s="3" t="s">
        <v>30</v>
      </c>
      <c r="I295" s="3" t="s">
        <v>31</v>
      </c>
      <c r="J295" s="3" t="s">
        <v>32</v>
      </c>
      <c r="K295" s="8">
        <v>44042.712500000001</v>
      </c>
      <c r="L295" s="12" t="s">
        <v>576</v>
      </c>
      <c r="M295" s="3">
        <v>0</v>
      </c>
      <c r="N295" s="3">
        <v>1</v>
      </c>
      <c r="O295" s="3" t="s">
        <v>33</v>
      </c>
      <c r="P295" s="10" t="s">
        <v>576</v>
      </c>
      <c r="Q295" s="3" t="s">
        <v>43</v>
      </c>
      <c r="R295" s="3">
        <v>18</v>
      </c>
      <c r="S295" s="3">
        <v>1</v>
      </c>
      <c r="T295" s="3" t="s">
        <v>35</v>
      </c>
      <c r="U295" s="3" t="s">
        <v>36</v>
      </c>
      <c r="V295" s="3" t="s">
        <v>48</v>
      </c>
      <c r="W295" s="11" cm="1">
        <f t="array" ref="W295">IF(H295="Request","No SLA for Request", IF(F295="Emergency",B295+(4/24), WORKDAY(B295, _xlfn.IFS(F295="High", 3, F295="Normal", 5, F295="Low", 10))))</f>
        <v>44004</v>
      </c>
      <c r="X295" t="str">
        <f t="shared" si="4"/>
        <v>Yes</v>
      </c>
    </row>
    <row r="296" spans="1:24" ht="12.75" x14ac:dyDescent="0.2">
      <c r="A296" s="3">
        <v>111399</v>
      </c>
      <c r="B296" s="8">
        <v>43896.523611111108</v>
      </c>
      <c r="C296" s="3" t="s">
        <v>623</v>
      </c>
      <c r="D296" s="3" t="s">
        <v>103</v>
      </c>
      <c r="E296" s="3" t="s">
        <v>104</v>
      </c>
      <c r="F296" s="3" t="s">
        <v>124</v>
      </c>
      <c r="G296" s="3" t="s">
        <v>29</v>
      </c>
      <c r="H296" s="3" t="s">
        <v>53</v>
      </c>
      <c r="I296" s="3" t="s">
        <v>31</v>
      </c>
      <c r="J296" s="3" t="s">
        <v>32</v>
      </c>
      <c r="K296" s="8">
        <v>44042.712500000001</v>
      </c>
      <c r="L296" s="8">
        <v>43897.023611111108</v>
      </c>
      <c r="M296" s="3">
        <v>0</v>
      </c>
      <c r="N296" s="3">
        <v>1</v>
      </c>
      <c r="O296" s="3" t="s">
        <v>33</v>
      </c>
      <c r="P296" s="10" t="s">
        <v>576</v>
      </c>
      <c r="Q296" s="3" t="s">
        <v>43</v>
      </c>
      <c r="R296" s="3">
        <v>20</v>
      </c>
      <c r="S296" s="3">
        <v>1</v>
      </c>
      <c r="T296" s="3" t="s">
        <v>35</v>
      </c>
      <c r="U296" s="3" t="s">
        <v>36</v>
      </c>
      <c r="V296" s="3" t="s">
        <v>37</v>
      </c>
      <c r="W296" s="11" t="str" cm="1">
        <f t="array" ref="W296">IF(H296="Request","No SLA for Request", IF(F296="Emergency",B296+(4/24), WORKDAY(B296, _xlfn.IFS(F296="High", 3, F296="Normal", 5, F296="Low", 10))))</f>
        <v>No SLA for Request</v>
      </c>
      <c r="X296" t="str">
        <f t="shared" si="4"/>
        <v>N/A</v>
      </c>
    </row>
    <row r="297" spans="1:24" ht="12.75" x14ac:dyDescent="0.2">
      <c r="A297" s="3">
        <v>111449</v>
      </c>
      <c r="B297" s="8">
        <v>44005.616666666669</v>
      </c>
      <c r="C297" s="3" t="s">
        <v>399</v>
      </c>
      <c r="D297" s="3" t="s">
        <v>140</v>
      </c>
      <c r="E297" s="3" t="s">
        <v>611</v>
      </c>
      <c r="F297" s="3" t="s">
        <v>124</v>
      </c>
      <c r="G297" s="3" t="s">
        <v>577</v>
      </c>
      <c r="H297" s="3" t="s">
        <v>30</v>
      </c>
      <c r="I297" s="3" t="s">
        <v>31</v>
      </c>
      <c r="J297" s="3" t="s">
        <v>32</v>
      </c>
      <c r="K297" s="8">
        <v>44039.713194444441</v>
      </c>
      <c r="L297" s="8">
        <v>44006.116666666669</v>
      </c>
      <c r="M297" s="3">
        <v>0</v>
      </c>
      <c r="N297" s="3">
        <v>1</v>
      </c>
      <c r="O297" s="3" t="s">
        <v>33</v>
      </c>
      <c r="P297" s="10" t="s">
        <v>576</v>
      </c>
      <c r="Q297" s="3" t="s">
        <v>46</v>
      </c>
      <c r="R297" s="3">
        <v>5</v>
      </c>
      <c r="S297" s="3">
        <v>0</v>
      </c>
      <c r="T297" s="10" t="s">
        <v>576</v>
      </c>
      <c r="U297" s="3" t="s">
        <v>36</v>
      </c>
      <c r="V297" s="3" t="s">
        <v>37</v>
      </c>
      <c r="W297" s="11" cm="1">
        <f t="array" ref="W297">IF(H297="Request","No SLA for Request", IF(F297="Emergency",B297+(4/24), WORKDAY(B297, _xlfn.IFS(F297="High", 3, F297="Normal", 5, F297="Low", 10))))</f>
        <v>44012</v>
      </c>
      <c r="X297" t="str">
        <f t="shared" si="4"/>
        <v>Yes</v>
      </c>
    </row>
    <row r="298" spans="1:24" ht="12.75" x14ac:dyDescent="0.2">
      <c r="A298" s="3">
        <v>111450</v>
      </c>
      <c r="B298" s="8">
        <v>44005.62222222222</v>
      </c>
      <c r="C298" s="3" t="s">
        <v>155</v>
      </c>
      <c r="D298" s="3" t="s">
        <v>140</v>
      </c>
      <c r="E298" s="3" t="s">
        <v>611</v>
      </c>
      <c r="F298" s="3" t="s">
        <v>124</v>
      </c>
      <c r="G298" s="3" t="s">
        <v>577</v>
      </c>
      <c r="H298" s="3" t="s">
        <v>53</v>
      </c>
      <c r="I298" s="3" t="s">
        <v>31</v>
      </c>
      <c r="J298" s="3" t="s">
        <v>32</v>
      </c>
      <c r="K298" s="8">
        <v>44039.712500000001</v>
      </c>
      <c r="L298" s="8">
        <v>44006.12222222222</v>
      </c>
      <c r="M298" s="3">
        <v>0</v>
      </c>
      <c r="N298" s="3">
        <v>1</v>
      </c>
      <c r="O298" s="3" t="s">
        <v>33</v>
      </c>
      <c r="P298" s="10" t="s">
        <v>576</v>
      </c>
      <c r="Q298" s="3" t="s">
        <v>46</v>
      </c>
      <c r="R298" s="3">
        <v>4</v>
      </c>
      <c r="S298" s="3">
        <v>0</v>
      </c>
      <c r="T298" s="10" t="s">
        <v>576</v>
      </c>
      <c r="U298" s="3" t="s">
        <v>36</v>
      </c>
      <c r="V298" s="3" t="s">
        <v>37</v>
      </c>
      <c r="W298" s="11" t="str" cm="1">
        <f t="array" ref="W298">IF(H298="Request","No SLA for Request", IF(F298="Emergency",B298+(4/24), WORKDAY(B298, _xlfn.IFS(F298="High", 3, F298="Normal", 5, F298="Low", 10))))</f>
        <v>No SLA for Request</v>
      </c>
      <c r="X298" t="str">
        <f t="shared" si="4"/>
        <v>N/A</v>
      </c>
    </row>
    <row r="299" spans="1:24" ht="12.75" x14ac:dyDescent="0.2">
      <c r="A299" s="3">
        <v>111470</v>
      </c>
      <c r="B299" s="8">
        <v>44026.776388888888</v>
      </c>
      <c r="C299" s="3" t="s">
        <v>156</v>
      </c>
      <c r="D299" s="3" t="s">
        <v>47</v>
      </c>
      <c r="E299" s="3" t="s">
        <v>578</v>
      </c>
      <c r="F299" s="3" t="s">
        <v>124</v>
      </c>
      <c r="G299" s="3" t="s">
        <v>29</v>
      </c>
      <c r="H299" s="3" t="s">
        <v>30</v>
      </c>
      <c r="I299" s="3" t="s">
        <v>31</v>
      </c>
      <c r="J299" s="3" t="s">
        <v>32</v>
      </c>
      <c r="K299" s="8">
        <v>44033.739583333336</v>
      </c>
      <c r="L299" s="8">
        <v>44027.276388888888</v>
      </c>
      <c r="M299" s="3">
        <v>0</v>
      </c>
      <c r="N299" s="3">
        <v>1</v>
      </c>
      <c r="O299" s="3" t="s">
        <v>33</v>
      </c>
      <c r="P299" s="10" t="s">
        <v>576</v>
      </c>
      <c r="Q299" s="3" t="s">
        <v>43</v>
      </c>
      <c r="R299" s="3">
        <v>12</v>
      </c>
      <c r="S299" s="3">
        <v>3</v>
      </c>
      <c r="T299" s="3" t="s">
        <v>35</v>
      </c>
      <c r="U299" s="3" t="s">
        <v>36</v>
      </c>
      <c r="V299" s="3" t="s">
        <v>48</v>
      </c>
      <c r="W299" s="11" cm="1">
        <f t="array" ref="W299">IF(H299="Request","No SLA for Request", IF(F299="Emergency",B299+(4/24), WORKDAY(B299, _xlfn.IFS(F299="High", 3, F299="Normal", 5, F299="Low", 10))))</f>
        <v>44033</v>
      </c>
      <c r="X299" t="str">
        <f t="shared" si="4"/>
        <v>Yes</v>
      </c>
    </row>
    <row r="300" spans="1:24" ht="12.75" x14ac:dyDescent="0.2">
      <c r="A300" s="3">
        <v>111411</v>
      </c>
      <c r="B300" s="8">
        <v>43936.745833333334</v>
      </c>
      <c r="C300" s="3" t="s">
        <v>624</v>
      </c>
      <c r="D300" s="3" t="s">
        <v>96</v>
      </c>
      <c r="E300" s="3" t="s">
        <v>97</v>
      </c>
      <c r="F300" s="3" t="s">
        <v>124</v>
      </c>
      <c r="G300" s="3" t="s">
        <v>29</v>
      </c>
      <c r="H300" s="3" t="s">
        <v>53</v>
      </c>
      <c r="I300" s="3" t="s">
        <v>31</v>
      </c>
      <c r="J300" s="3" t="s">
        <v>32</v>
      </c>
      <c r="K300" s="8">
        <v>44032.709722222222</v>
      </c>
      <c r="L300" s="12" t="s">
        <v>576</v>
      </c>
      <c r="M300" s="3">
        <v>0</v>
      </c>
      <c r="N300" s="3">
        <v>1</v>
      </c>
      <c r="O300" s="3" t="s">
        <v>33</v>
      </c>
      <c r="P300" s="10" t="s">
        <v>576</v>
      </c>
      <c r="Q300" s="3" t="s">
        <v>43</v>
      </c>
      <c r="R300" s="3">
        <v>15</v>
      </c>
      <c r="S300" s="3">
        <v>7</v>
      </c>
      <c r="T300" s="3" t="s">
        <v>54</v>
      </c>
      <c r="U300" s="3" t="s">
        <v>55</v>
      </c>
      <c r="V300" s="3" t="s">
        <v>48</v>
      </c>
      <c r="W300" s="11" t="str" cm="1">
        <f t="array" ref="W300">IF(H300="Request","No SLA for Request", IF(F300="Emergency",B300+(4/24), WORKDAY(B300, _xlfn.IFS(F300="High", 3, F300="Normal", 5, F300="Low", 10))))</f>
        <v>No SLA for Request</v>
      </c>
      <c r="X300" t="str">
        <f t="shared" si="4"/>
        <v>N/A</v>
      </c>
    </row>
    <row r="301" spans="1:24" ht="12.75" x14ac:dyDescent="0.2">
      <c r="A301" s="3">
        <v>111471</v>
      </c>
      <c r="B301" s="8">
        <v>44028.765277777777</v>
      </c>
      <c r="C301" s="3" t="s">
        <v>400</v>
      </c>
      <c r="D301" s="3" t="s">
        <v>157</v>
      </c>
      <c r="E301" s="3" t="s">
        <v>158</v>
      </c>
      <c r="F301" s="3" t="s">
        <v>124</v>
      </c>
      <c r="G301" s="3" t="s">
        <v>577</v>
      </c>
      <c r="H301" s="3" t="s">
        <v>30</v>
      </c>
      <c r="I301" s="3" t="s">
        <v>68</v>
      </c>
      <c r="J301" s="3" t="s">
        <v>51</v>
      </c>
      <c r="K301" s="8">
        <v>44028.773611111108</v>
      </c>
      <c r="L301" s="8">
        <v>44029.708333333336</v>
      </c>
      <c r="M301" s="3">
        <v>1</v>
      </c>
      <c r="N301" s="3">
        <v>1</v>
      </c>
      <c r="O301" s="3" t="s">
        <v>85</v>
      </c>
      <c r="P301" s="10" t="s">
        <v>576</v>
      </c>
      <c r="Q301" s="3" t="s">
        <v>77</v>
      </c>
      <c r="R301" s="3">
        <v>4</v>
      </c>
      <c r="S301" s="3">
        <v>0</v>
      </c>
      <c r="T301" s="3" t="s">
        <v>54</v>
      </c>
      <c r="U301" s="3" t="s">
        <v>55</v>
      </c>
      <c r="V301" s="3" t="s">
        <v>37</v>
      </c>
      <c r="W301" s="11" cm="1">
        <f t="array" ref="W301">IF(H301="Request","No SLA for Request", IF(F301="Emergency",B301+(4/24), WORKDAY(B301, _xlfn.IFS(F301="High", 3, F301="Normal", 5, F301="Low", 10))))</f>
        <v>44035</v>
      </c>
      <c r="X301" t="str">
        <f t="shared" si="4"/>
        <v>No</v>
      </c>
    </row>
    <row r="302" spans="1:24" ht="12.75" x14ac:dyDescent="0.2">
      <c r="A302" s="3">
        <v>111455</v>
      </c>
      <c r="B302" s="8">
        <v>44014.361805555556</v>
      </c>
      <c r="C302" s="3" t="s">
        <v>401</v>
      </c>
      <c r="D302" s="3" t="s">
        <v>26</v>
      </c>
      <c r="E302" s="3" t="s">
        <v>27</v>
      </c>
      <c r="F302" s="3" t="s">
        <v>124</v>
      </c>
      <c r="G302" s="3" t="s">
        <v>29</v>
      </c>
      <c r="H302" s="3" t="s">
        <v>30</v>
      </c>
      <c r="I302" s="3" t="s">
        <v>31</v>
      </c>
      <c r="J302" s="3" t="s">
        <v>32</v>
      </c>
      <c r="K302" s="8">
        <v>44027.729166666664</v>
      </c>
      <c r="L302" s="8">
        <v>44014.861805555556</v>
      </c>
      <c r="M302" s="3">
        <v>0</v>
      </c>
      <c r="N302" s="3">
        <v>1</v>
      </c>
      <c r="O302" s="3" t="s">
        <v>33</v>
      </c>
      <c r="P302" s="10" t="s">
        <v>576</v>
      </c>
      <c r="Q302" s="3" t="s">
        <v>34</v>
      </c>
      <c r="R302" s="3">
        <v>10</v>
      </c>
      <c r="S302" s="3">
        <v>3</v>
      </c>
      <c r="T302" s="3" t="s">
        <v>35</v>
      </c>
      <c r="U302" s="3" t="s">
        <v>36</v>
      </c>
      <c r="V302" s="3" t="s">
        <v>37</v>
      </c>
      <c r="W302" s="11" cm="1">
        <f t="array" ref="W302">IF(H302="Request","No SLA for Request", IF(F302="Emergency",B302+(4/24), WORKDAY(B302, _xlfn.IFS(F302="High", 3, F302="Normal", 5, F302="Low", 10))))</f>
        <v>44021</v>
      </c>
      <c r="X302" t="str">
        <f t="shared" si="4"/>
        <v>Yes</v>
      </c>
    </row>
    <row r="303" spans="1:24" ht="12.75" x14ac:dyDescent="0.2">
      <c r="A303" s="3">
        <v>111452</v>
      </c>
      <c r="B303" s="8">
        <v>44013.693749999999</v>
      </c>
      <c r="C303" s="3" t="s">
        <v>402</v>
      </c>
      <c r="D303" s="3" t="s">
        <v>70</v>
      </c>
      <c r="E303" s="3" t="s">
        <v>71</v>
      </c>
      <c r="F303" s="3" t="s">
        <v>124</v>
      </c>
      <c r="G303" s="3" t="s">
        <v>29</v>
      </c>
      <c r="H303" s="3" t="s">
        <v>53</v>
      </c>
      <c r="I303" s="3" t="s">
        <v>31</v>
      </c>
      <c r="J303" s="3" t="s">
        <v>32</v>
      </c>
      <c r="K303" s="8">
        <v>44027.727777777778</v>
      </c>
      <c r="L303" s="8">
        <v>44014.193749999999</v>
      </c>
      <c r="M303" s="3">
        <v>0</v>
      </c>
      <c r="N303" s="3">
        <v>1</v>
      </c>
      <c r="O303" s="3" t="s">
        <v>33</v>
      </c>
      <c r="P303" s="10" t="s">
        <v>576</v>
      </c>
      <c r="Q303" s="3" t="s">
        <v>43</v>
      </c>
      <c r="R303" s="3">
        <v>24</v>
      </c>
      <c r="S303" s="3">
        <v>4</v>
      </c>
      <c r="T303" s="3" t="s">
        <v>54</v>
      </c>
      <c r="U303" s="3" t="s">
        <v>55</v>
      </c>
      <c r="V303" s="3" t="s">
        <v>48</v>
      </c>
      <c r="W303" s="11" t="str" cm="1">
        <f t="array" ref="W303">IF(H303="Request","No SLA for Request", IF(F303="Emergency",B303+(4/24), WORKDAY(B303, _xlfn.IFS(F303="High", 3, F303="Normal", 5, F303="Low", 10))))</f>
        <v>No SLA for Request</v>
      </c>
      <c r="X303" t="str">
        <f t="shared" si="4"/>
        <v>N/A</v>
      </c>
    </row>
    <row r="304" spans="1:24" ht="12.75" x14ac:dyDescent="0.2">
      <c r="A304" s="3">
        <v>111458</v>
      </c>
      <c r="B304" s="8">
        <v>44019.606249999997</v>
      </c>
      <c r="C304" s="3" t="s">
        <v>403</v>
      </c>
      <c r="D304" s="3" t="s">
        <v>140</v>
      </c>
      <c r="E304" s="3" t="s">
        <v>611</v>
      </c>
      <c r="F304" s="3" t="s">
        <v>124</v>
      </c>
      <c r="G304" s="3" t="s">
        <v>577</v>
      </c>
      <c r="H304" s="3" t="s">
        <v>53</v>
      </c>
      <c r="I304" s="3" t="s">
        <v>68</v>
      </c>
      <c r="J304" s="3" t="s">
        <v>32</v>
      </c>
      <c r="K304" s="8">
        <v>44025.509722222225</v>
      </c>
      <c r="L304" s="8">
        <v>44020.708333333336</v>
      </c>
      <c r="M304" s="3">
        <v>0</v>
      </c>
      <c r="N304" s="3">
        <v>1</v>
      </c>
      <c r="O304" s="3" t="s">
        <v>33</v>
      </c>
      <c r="P304" s="10" t="s">
        <v>576</v>
      </c>
      <c r="Q304" s="3" t="s">
        <v>77</v>
      </c>
      <c r="R304" s="3">
        <v>4</v>
      </c>
      <c r="S304" s="3">
        <v>0</v>
      </c>
      <c r="T304" s="3" t="s">
        <v>54</v>
      </c>
      <c r="U304" s="3" t="s">
        <v>62</v>
      </c>
      <c r="V304" s="3" t="s">
        <v>37</v>
      </c>
      <c r="W304" s="11" t="str" cm="1">
        <f t="array" ref="W304">IF(H304="Request","No SLA for Request", IF(F304="Emergency",B304+(4/24), WORKDAY(B304, _xlfn.IFS(F304="High", 3, F304="Normal", 5, F304="Low", 10))))</f>
        <v>No SLA for Request</v>
      </c>
      <c r="X304" t="str">
        <f t="shared" si="4"/>
        <v>N/A</v>
      </c>
    </row>
    <row r="305" spans="1:24" ht="12.75" x14ac:dyDescent="0.2">
      <c r="A305" s="3">
        <v>111435</v>
      </c>
      <c r="B305" s="8">
        <v>43987.753472222219</v>
      </c>
      <c r="C305" s="3" t="s">
        <v>404</v>
      </c>
      <c r="D305" s="3" t="s">
        <v>60</v>
      </c>
      <c r="E305" s="3" t="s">
        <v>581</v>
      </c>
      <c r="F305" s="3" t="s">
        <v>124</v>
      </c>
      <c r="G305" s="3" t="s">
        <v>577</v>
      </c>
      <c r="H305" s="3" t="s">
        <v>53</v>
      </c>
      <c r="I305" s="3" t="s">
        <v>68</v>
      </c>
      <c r="J305" s="3" t="s">
        <v>32</v>
      </c>
      <c r="K305" s="8">
        <v>44025.427777777775</v>
      </c>
      <c r="L305" s="8">
        <v>43988.708333333336</v>
      </c>
      <c r="M305" s="3">
        <v>0</v>
      </c>
      <c r="N305" s="3">
        <v>1</v>
      </c>
      <c r="O305" s="3" t="s">
        <v>33</v>
      </c>
      <c r="P305" s="10" t="s">
        <v>576</v>
      </c>
      <c r="Q305" s="3" t="s">
        <v>46</v>
      </c>
      <c r="R305" s="3">
        <v>5</v>
      </c>
      <c r="S305" s="3">
        <v>0</v>
      </c>
      <c r="T305" s="10" t="s">
        <v>576</v>
      </c>
      <c r="U305" s="3" t="s">
        <v>36</v>
      </c>
      <c r="V305" s="3" t="s">
        <v>37</v>
      </c>
      <c r="W305" s="11" t="str" cm="1">
        <f t="array" ref="W305">IF(H305="Request","No SLA for Request", IF(F305="Emergency",B305+(4/24), WORKDAY(B305, _xlfn.IFS(F305="High", 3, F305="Normal", 5, F305="Low", 10))))</f>
        <v>No SLA for Request</v>
      </c>
      <c r="X305" t="str">
        <f t="shared" si="4"/>
        <v>N/A</v>
      </c>
    </row>
    <row r="306" spans="1:24" ht="12.75" x14ac:dyDescent="0.2">
      <c r="A306" s="3">
        <v>111466</v>
      </c>
      <c r="B306" s="8">
        <v>44021.527777777781</v>
      </c>
      <c r="C306" s="3" t="s">
        <v>405</v>
      </c>
      <c r="D306" s="3" t="s">
        <v>142</v>
      </c>
      <c r="E306" s="3" t="s">
        <v>613</v>
      </c>
      <c r="F306" s="3" t="s">
        <v>124</v>
      </c>
      <c r="G306" s="3" t="s">
        <v>577</v>
      </c>
      <c r="H306" s="3" t="s">
        <v>30</v>
      </c>
      <c r="I306" s="3" t="s">
        <v>31</v>
      </c>
      <c r="J306" s="3" t="s">
        <v>51</v>
      </c>
      <c r="K306" s="8">
        <v>44021.527777777781</v>
      </c>
      <c r="L306" s="8">
        <v>44022.027777777781</v>
      </c>
      <c r="M306" s="3">
        <v>1</v>
      </c>
      <c r="N306" s="3">
        <v>0</v>
      </c>
      <c r="O306" s="3" t="s">
        <v>85</v>
      </c>
      <c r="P306" s="10" t="s">
        <v>576</v>
      </c>
      <c r="Q306" s="3" t="s">
        <v>77</v>
      </c>
      <c r="R306" s="3">
        <v>1</v>
      </c>
      <c r="S306" s="3">
        <v>0</v>
      </c>
      <c r="T306" s="3" t="s">
        <v>54</v>
      </c>
      <c r="U306" s="3" t="s">
        <v>62</v>
      </c>
      <c r="V306" s="3" t="s">
        <v>37</v>
      </c>
      <c r="W306" s="11" cm="1">
        <f t="array" ref="W306">IF(H306="Request","No SLA for Request", IF(F306="Emergency",B306+(4/24), WORKDAY(B306, _xlfn.IFS(F306="High", 3, F306="Normal", 5, F306="Low", 10))))</f>
        <v>44028</v>
      </c>
      <c r="X306" t="str">
        <f t="shared" si="4"/>
        <v>No</v>
      </c>
    </row>
    <row r="307" spans="1:24" ht="12.75" x14ac:dyDescent="0.2">
      <c r="A307" s="3">
        <v>111463</v>
      </c>
      <c r="B307" s="8">
        <v>44021.512499999997</v>
      </c>
      <c r="C307" s="3" t="s">
        <v>406</v>
      </c>
      <c r="D307" s="3" t="s">
        <v>142</v>
      </c>
      <c r="E307" s="3" t="s">
        <v>613</v>
      </c>
      <c r="F307" s="3" t="s">
        <v>124</v>
      </c>
      <c r="G307" s="3" t="s">
        <v>577</v>
      </c>
      <c r="H307" s="3" t="s">
        <v>30</v>
      </c>
      <c r="I307" s="3" t="s">
        <v>31</v>
      </c>
      <c r="J307" s="3" t="s">
        <v>51</v>
      </c>
      <c r="K307" s="8">
        <v>44021.512499999997</v>
      </c>
      <c r="L307" s="8">
        <v>44022.012499999997</v>
      </c>
      <c r="M307" s="3">
        <v>1</v>
      </c>
      <c r="N307" s="3">
        <v>0</v>
      </c>
      <c r="O307" s="3" t="s">
        <v>85</v>
      </c>
      <c r="P307" s="10" t="s">
        <v>576</v>
      </c>
      <c r="Q307" s="3" t="s">
        <v>77</v>
      </c>
      <c r="R307" s="3">
        <v>1</v>
      </c>
      <c r="S307" s="3">
        <v>0</v>
      </c>
      <c r="T307" s="3" t="s">
        <v>35</v>
      </c>
      <c r="U307" s="3" t="s">
        <v>62</v>
      </c>
      <c r="V307" s="3" t="s">
        <v>37</v>
      </c>
      <c r="W307" s="11" cm="1">
        <f t="array" ref="W307">IF(H307="Request","No SLA for Request", IF(F307="Emergency",B307+(4/24), WORKDAY(B307, _xlfn.IFS(F307="High", 3, F307="Normal", 5, F307="Low", 10))))</f>
        <v>44028</v>
      </c>
      <c r="X307" t="str">
        <f t="shared" si="4"/>
        <v>No</v>
      </c>
    </row>
    <row r="308" spans="1:24" ht="12.75" x14ac:dyDescent="0.2">
      <c r="A308" s="3">
        <v>111462</v>
      </c>
      <c r="B308" s="8">
        <v>44021.508333333331</v>
      </c>
      <c r="C308" s="3" t="s">
        <v>407</v>
      </c>
      <c r="D308" s="3" t="s">
        <v>142</v>
      </c>
      <c r="E308" s="3" t="s">
        <v>613</v>
      </c>
      <c r="F308" s="3" t="s">
        <v>124</v>
      </c>
      <c r="G308" s="3" t="s">
        <v>577</v>
      </c>
      <c r="H308" s="3" t="s">
        <v>30</v>
      </c>
      <c r="I308" s="3" t="s">
        <v>31</v>
      </c>
      <c r="J308" s="3" t="s">
        <v>51</v>
      </c>
      <c r="K308" s="8">
        <v>44021.508333333331</v>
      </c>
      <c r="L308" s="8">
        <v>44022.008333333331</v>
      </c>
      <c r="M308" s="3">
        <v>1</v>
      </c>
      <c r="N308" s="3">
        <v>0</v>
      </c>
      <c r="O308" s="3" t="s">
        <v>85</v>
      </c>
      <c r="P308" s="10" t="s">
        <v>576</v>
      </c>
      <c r="Q308" s="3" t="s">
        <v>77</v>
      </c>
      <c r="R308" s="3">
        <v>1</v>
      </c>
      <c r="S308" s="3">
        <v>0</v>
      </c>
      <c r="T308" s="3" t="s">
        <v>54</v>
      </c>
      <c r="U308" s="3" t="s">
        <v>62</v>
      </c>
      <c r="V308" s="3" t="s">
        <v>37</v>
      </c>
      <c r="W308" s="11" cm="1">
        <f t="array" ref="W308">IF(H308="Request","No SLA for Request", IF(F308="Emergency",B308+(4/24), WORKDAY(B308, _xlfn.IFS(F308="High", 3, F308="Normal", 5, F308="Low", 10))))</f>
        <v>44028</v>
      </c>
      <c r="X308" t="str">
        <f t="shared" si="4"/>
        <v>No</v>
      </c>
    </row>
    <row r="309" spans="1:24" ht="12.75" x14ac:dyDescent="0.2">
      <c r="A309" s="3">
        <v>111461</v>
      </c>
      <c r="B309" s="8">
        <v>44021.506249999999</v>
      </c>
      <c r="C309" s="3" t="s">
        <v>408</v>
      </c>
      <c r="D309" s="3" t="s">
        <v>142</v>
      </c>
      <c r="E309" s="3" t="s">
        <v>613</v>
      </c>
      <c r="F309" s="3" t="s">
        <v>124</v>
      </c>
      <c r="G309" s="3" t="s">
        <v>577</v>
      </c>
      <c r="H309" s="3" t="s">
        <v>30</v>
      </c>
      <c r="I309" s="3" t="s">
        <v>31</v>
      </c>
      <c r="J309" s="3" t="s">
        <v>51</v>
      </c>
      <c r="K309" s="8">
        <v>44021.506249999999</v>
      </c>
      <c r="L309" s="8">
        <v>44022.006249999999</v>
      </c>
      <c r="M309" s="3">
        <v>1</v>
      </c>
      <c r="N309" s="3">
        <v>0</v>
      </c>
      <c r="O309" s="3" t="s">
        <v>85</v>
      </c>
      <c r="P309" s="10" t="s">
        <v>576</v>
      </c>
      <c r="Q309" s="3" t="s">
        <v>77</v>
      </c>
      <c r="R309" s="3">
        <v>1</v>
      </c>
      <c r="S309" s="3">
        <v>0</v>
      </c>
      <c r="T309" s="3" t="s">
        <v>35</v>
      </c>
      <c r="U309" s="3" t="s">
        <v>62</v>
      </c>
      <c r="V309" s="3" t="s">
        <v>37</v>
      </c>
      <c r="W309" s="11" cm="1">
        <f t="array" ref="W309">IF(H309="Request","No SLA for Request", IF(F309="Emergency",B309+(4/24), WORKDAY(B309, _xlfn.IFS(F309="High", 3, F309="Normal", 5, F309="Low", 10))))</f>
        <v>44028</v>
      </c>
      <c r="X309" t="str">
        <f t="shared" si="4"/>
        <v>No</v>
      </c>
    </row>
    <row r="310" spans="1:24" ht="12.75" x14ac:dyDescent="0.2">
      <c r="A310" s="3">
        <v>111460</v>
      </c>
      <c r="B310" s="8">
        <v>44021.504166666666</v>
      </c>
      <c r="C310" s="3" t="s">
        <v>409</v>
      </c>
      <c r="D310" s="3" t="s">
        <v>142</v>
      </c>
      <c r="E310" s="3" t="s">
        <v>613</v>
      </c>
      <c r="F310" s="3" t="s">
        <v>124</v>
      </c>
      <c r="G310" s="3" t="s">
        <v>577</v>
      </c>
      <c r="H310" s="3" t="s">
        <v>30</v>
      </c>
      <c r="I310" s="3" t="s">
        <v>31</v>
      </c>
      <c r="J310" s="3" t="s">
        <v>51</v>
      </c>
      <c r="K310" s="8">
        <v>44021.504166666666</v>
      </c>
      <c r="L310" s="8">
        <v>44022.004166666666</v>
      </c>
      <c r="M310" s="3">
        <v>1</v>
      </c>
      <c r="N310" s="3">
        <v>0</v>
      </c>
      <c r="O310" s="3" t="s">
        <v>85</v>
      </c>
      <c r="P310" s="10" t="s">
        <v>576</v>
      </c>
      <c r="Q310" s="3" t="s">
        <v>77</v>
      </c>
      <c r="R310" s="3">
        <v>1</v>
      </c>
      <c r="S310" s="3">
        <v>0</v>
      </c>
      <c r="T310" s="3" t="s">
        <v>35</v>
      </c>
      <c r="U310" s="3" t="s">
        <v>62</v>
      </c>
      <c r="V310" s="3" t="s">
        <v>37</v>
      </c>
      <c r="W310" s="11" cm="1">
        <f t="array" ref="W310">IF(H310="Request","No SLA for Request", IF(F310="Emergency",B310+(4/24), WORKDAY(B310, _xlfn.IFS(F310="High", 3, F310="Normal", 5, F310="Low", 10))))</f>
        <v>44028</v>
      </c>
      <c r="X310" t="str">
        <f t="shared" si="4"/>
        <v>No</v>
      </c>
    </row>
    <row r="311" spans="1:24" ht="12.75" x14ac:dyDescent="0.2">
      <c r="A311" s="3">
        <v>111408</v>
      </c>
      <c r="B311" s="8">
        <v>43934.581250000003</v>
      </c>
      <c r="C311" s="3" t="s">
        <v>410</v>
      </c>
      <c r="D311" s="3" t="s">
        <v>103</v>
      </c>
      <c r="E311" s="3" t="s">
        <v>104</v>
      </c>
      <c r="F311" s="3" t="s">
        <v>124</v>
      </c>
      <c r="G311" s="3" t="s">
        <v>29</v>
      </c>
      <c r="H311" s="3" t="s">
        <v>30</v>
      </c>
      <c r="I311" s="3" t="s">
        <v>31</v>
      </c>
      <c r="J311" s="3" t="s">
        <v>32</v>
      </c>
      <c r="K311" s="8">
        <v>44021.354861111111</v>
      </c>
      <c r="L311" s="12" t="s">
        <v>576</v>
      </c>
      <c r="M311" s="3">
        <v>0</v>
      </c>
      <c r="N311" s="3">
        <v>1</v>
      </c>
      <c r="O311" s="3" t="s">
        <v>33</v>
      </c>
      <c r="P311" s="10" t="s">
        <v>576</v>
      </c>
      <c r="Q311" s="3" t="s">
        <v>43</v>
      </c>
      <c r="R311" s="3">
        <v>19</v>
      </c>
      <c r="S311" s="3">
        <v>6</v>
      </c>
      <c r="T311" s="3" t="s">
        <v>54</v>
      </c>
      <c r="U311" s="3" t="s">
        <v>55</v>
      </c>
      <c r="V311" s="3" t="s">
        <v>37</v>
      </c>
      <c r="W311" s="11" cm="1">
        <f t="array" ref="W311">IF(H311="Request","No SLA for Request", IF(F311="Emergency",B311+(4/24), WORKDAY(B311, _xlfn.IFS(F311="High", 3, F311="Normal", 5, F311="Low", 10))))</f>
        <v>43941</v>
      </c>
      <c r="X311" t="str">
        <f t="shared" si="4"/>
        <v>Yes</v>
      </c>
    </row>
    <row r="312" spans="1:24" ht="12.75" x14ac:dyDescent="0.2">
      <c r="A312" s="3">
        <v>111440</v>
      </c>
      <c r="B312" s="8">
        <v>43991.494444444441</v>
      </c>
      <c r="C312" s="3" t="s">
        <v>400</v>
      </c>
      <c r="D312" s="3" t="s">
        <v>159</v>
      </c>
      <c r="E312" s="3" t="s">
        <v>160</v>
      </c>
      <c r="F312" s="3" t="s">
        <v>124</v>
      </c>
      <c r="G312" s="3" t="s">
        <v>577</v>
      </c>
      <c r="H312" s="3" t="s">
        <v>30</v>
      </c>
      <c r="I312" s="3" t="s">
        <v>68</v>
      </c>
      <c r="J312" s="3" t="s">
        <v>32</v>
      </c>
      <c r="K312" s="8">
        <v>44011.739583333336</v>
      </c>
      <c r="L312" s="8">
        <v>43992.708333333336</v>
      </c>
      <c r="M312" s="3">
        <v>0</v>
      </c>
      <c r="N312" s="3">
        <v>1</v>
      </c>
      <c r="O312" s="3" t="s">
        <v>33</v>
      </c>
      <c r="P312" s="10" t="s">
        <v>576</v>
      </c>
      <c r="Q312" s="3" t="s">
        <v>46</v>
      </c>
      <c r="R312" s="3">
        <v>4</v>
      </c>
      <c r="S312" s="3">
        <v>0</v>
      </c>
      <c r="T312" s="10" t="s">
        <v>576</v>
      </c>
      <c r="U312" s="3" t="s">
        <v>36</v>
      </c>
      <c r="V312" s="3" t="s">
        <v>37</v>
      </c>
      <c r="W312" s="11" cm="1">
        <f t="array" ref="W312">IF(H312="Request","No SLA for Request", IF(F312="Emergency",B312+(4/24), WORKDAY(B312, _xlfn.IFS(F312="High", 3, F312="Normal", 5, F312="Low", 10))))</f>
        <v>43998</v>
      </c>
      <c r="X312" t="str">
        <f t="shared" si="4"/>
        <v>Yes</v>
      </c>
    </row>
    <row r="313" spans="1:24" ht="12.75" x14ac:dyDescent="0.2">
      <c r="A313" s="3">
        <v>111441</v>
      </c>
      <c r="B313" s="8">
        <v>43996.446527777778</v>
      </c>
      <c r="C313" s="3" t="s">
        <v>411</v>
      </c>
      <c r="D313" s="3" t="s">
        <v>44</v>
      </c>
      <c r="E313" s="3" t="s">
        <v>45</v>
      </c>
      <c r="F313" s="3" t="s">
        <v>124</v>
      </c>
      <c r="G313" s="3" t="s">
        <v>577</v>
      </c>
      <c r="H313" s="3" t="s">
        <v>53</v>
      </c>
      <c r="I313" s="3" t="s">
        <v>31</v>
      </c>
      <c r="J313" s="3" t="s">
        <v>32</v>
      </c>
      <c r="K313" s="8">
        <v>44007.693055555559</v>
      </c>
      <c r="L313" s="8">
        <v>43996.946527777778</v>
      </c>
      <c r="M313" s="3">
        <v>0</v>
      </c>
      <c r="N313" s="3">
        <v>1</v>
      </c>
      <c r="O313" s="3" t="s">
        <v>33</v>
      </c>
      <c r="P313" s="10" t="s">
        <v>576</v>
      </c>
      <c r="Q313" s="3" t="s">
        <v>46</v>
      </c>
      <c r="R313" s="3">
        <v>4</v>
      </c>
      <c r="S313" s="3">
        <v>0</v>
      </c>
      <c r="T313" s="10" t="s">
        <v>576</v>
      </c>
      <c r="U313" s="3" t="s">
        <v>36</v>
      </c>
      <c r="V313" s="3" t="s">
        <v>37</v>
      </c>
      <c r="W313" s="11" t="str" cm="1">
        <f t="array" ref="W313">IF(H313="Request","No SLA for Request", IF(F313="Emergency",B313+(4/24), WORKDAY(B313, _xlfn.IFS(F313="High", 3, F313="Normal", 5, F313="Low", 10))))</f>
        <v>No SLA for Request</v>
      </c>
      <c r="X313" t="str">
        <f t="shared" si="4"/>
        <v>N/A</v>
      </c>
    </row>
    <row r="314" spans="1:24" ht="12.75" x14ac:dyDescent="0.2">
      <c r="A314" s="3">
        <v>111436</v>
      </c>
      <c r="B314" s="8">
        <v>43990.445138888892</v>
      </c>
      <c r="C314" s="3" t="s">
        <v>400</v>
      </c>
      <c r="D314" s="3" t="s">
        <v>161</v>
      </c>
      <c r="E314" s="3" t="s">
        <v>162</v>
      </c>
      <c r="F314" s="3" t="s">
        <v>124</v>
      </c>
      <c r="G314" s="3" t="s">
        <v>577</v>
      </c>
      <c r="H314" s="3" t="s">
        <v>30</v>
      </c>
      <c r="I314" s="3" t="s">
        <v>68</v>
      </c>
      <c r="J314" s="3" t="s">
        <v>32</v>
      </c>
      <c r="K314" s="8">
        <v>44007.67291666667</v>
      </c>
      <c r="L314" s="8">
        <v>43991.708333333336</v>
      </c>
      <c r="M314" s="3">
        <v>0</v>
      </c>
      <c r="N314" s="3">
        <v>1</v>
      </c>
      <c r="O314" s="3" t="s">
        <v>33</v>
      </c>
      <c r="P314" s="10" t="s">
        <v>576</v>
      </c>
      <c r="Q314" s="3" t="s">
        <v>123</v>
      </c>
      <c r="R314" s="3">
        <v>5</v>
      </c>
      <c r="S314" s="3">
        <v>0</v>
      </c>
      <c r="T314" s="10" t="s">
        <v>576</v>
      </c>
      <c r="U314" s="3" t="s">
        <v>36</v>
      </c>
      <c r="V314" s="3" t="s">
        <v>37</v>
      </c>
      <c r="W314" s="11" cm="1">
        <f t="array" ref="W314">IF(H314="Request","No SLA for Request", IF(F314="Emergency",B314+(4/24), WORKDAY(B314, _xlfn.IFS(F314="High", 3, F314="Normal", 5, F314="Low", 10))))</f>
        <v>43997</v>
      </c>
      <c r="X314" t="str">
        <f t="shared" si="4"/>
        <v>Yes</v>
      </c>
    </row>
    <row r="315" spans="1:24" ht="12.75" x14ac:dyDescent="0.2">
      <c r="A315" s="3">
        <v>111407</v>
      </c>
      <c r="B315" s="8">
        <v>43928.792361111111</v>
      </c>
      <c r="C315" s="3" t="s">
        <v>412</v>
      </c>
      <c r="D315" s="3" t="s">
        <v>140</v>
      </c>
      <c r="E315" s="3" t="s">
        <v>611</v>
      </c>
      <c r="F315" s="3" t="s">
        <v>124</v>
      </c>
      <c r="G315" s="3" t="s">
        <v>577</v>
      </c>
      <c r="H315" s="3" t="s">
        <v>30</v>
      </c>
      <c r="I315" s="3" t="s">
        <v>31</v>
      </c>
      <c r="J315" s="3" t="s">
        <v>32</v>
      </c>
      <c r="K315" s="8">
        <v>44007.670138888891</v>
      </c>
      <c r="L315" s="8">
        <v>43929.292361111111</v>
      </c>
      <c r="M315" s="3">
        <v>0</v>
      </c>
      <c r="N315" s="3">
        <v>1</v>
      </c>
      <c r="O315" s="3" t="s">
        <v>33</v>
      </c>
      <c r="P315" s="10" t="s">
        <v>576</v>
      </c>
      <c r="Q315" s="3" t="s">
        <v>46</v>
      </c>
      <c r="R315" s="3">
        <v>4</v>
      </c>
      <c r="S315" s="3">
        <v>0</v>
      </c>
      <c r="T315" s="10" t="s">
        <v>576</v>
      </c>
      <c r="U315" s="3" t="s">
        <v>36</v>
      </c>
      <c r="V315" s="3" t="s">
        <v>48</v>
      </c>
      <c r="W315" s="11" cm="1">
        <f t="array" ref="W315">IF(H315="Request","No SLA for Request", IF(F315="Emergency",B315+(4/24), WORKDAY(B315, _xlfn.IFS(F315="High", 3, F315="Normal", 5, F315="Low", 10))))</f>
        <v>43935</v>
      </c>
      <c r="X315" t="str">
        <f t="shared" si="4"/>
        <v>Yes</v>
      </c>
    </row>
    <row r="316" spans="1:24" ht="12.75" x14ac:dyDescent="0.2">
      <c r="A316" s="3">
        <v>111448</v>
      </c>
      <c r="B316" s="8">
        <v>44005.563194444447</v>
      </c>
      <c r="C316" s="3" t="s">
        <v>625</v>
      </c>
      <c r="D316" s="3" t="s">
        <v>161</v>
      </c>
      <c r="E316" s="3" t="s">
        <v>162</v>
      </c>
      <c r="F316" s="3" t="s">
        <v>124</v>
      </c>
      <c r="G316" s="3" t="s">
        <v>577</v>
      </c>
      <c r="H316" s="3" t="s">
        <v>53</v>
      </c>
      <c r="I316" s="3" t="s">
        <v>31</v>
      </c>
      <c r="J316" s="3" t="s">
        <v>32</v>
      </c>
      <c r="K316" s="8">
        <v>44007.632638888892</v>
      </c>
      <c r="L316" s="8">
        <v>44006.063194444447</v>
      </c>
      <c r="M316" s="3">
        <v>0</v>
      </c>
      <c r="N316" s="3">
        <v>1</v>
      </c>
      <c r="O316" s="3" t="s">
        <v>33</v>
      </c>
      <c r="P316" s="10" t="s">
        <v>576</v>
      </c>
      <c r="Q316" s="3" t="s">
        <v>46</v>
      </c>
      <c r="R316" s="3">
        <v>5</v>
      </c>
      <c r="S316" s="3">
        <v>0</v>
      </c>
      <c r="T316" s="10" t="s">
        <v>576</v>
      </c>
      <c r="U316" s="3" t="s">
        <v>55</v>
      </c>
      <c r="V316" s="3" t="s">
        <v>48</v>
      </c>
      <c r="W316" s="11" t="str" cm="1">
        <f t="array" ref="W316">IF(H316="Request","No SLA for Request", IF(F316="Emergency",B316+(4/24), WORKDAY(B316, _xlfn.IFS(F316="High", 3, F316="Normal", 5, F316="Low", 10))))</f>
        <v>No SLA for Request</v>
      </c>
      <c r="X316" t="str">
        <f t="shared" si="4"/>
        <v>N/A</v>
      </c>
    </row>
    <row r="317" spans="1:24" ht="12.75" x14ac:dyDescent="0.2">
      <c r="A317" s="3">
        <v>111447</v>
      </c>
      <c r="B317" s="8">
        <v>44000.710416666669</v>
      </c>
      <c r="C317" s="3" t="s">
        <v>163</v>
      </c>
      <c r="D317" s="3" t="s">
        <v>66</v>
      </c>
      <c r="E317" s="3" t="s">
        <v>67</v>
      </c>
      <c r="F317" s="3" t="s">
        <v>124</v>
      </c>
      <c r="G317" s="3" t="s">
        <v>577</v>
      </c>
      <c r="H317" s="3" t="s">
        <v>53</v>
      </c>
      <c r="I317" s="3" t="s">
        <v>68</v>
      </c>
      <c r="J317" s="3" t="s">
        <v>32</v>
      </c>
      <c r="K317" s="8">
        <v>44006.731944444444</v>
      </c>
      <c r="L317" s="8">
        <v>44001.708333333336</v>
      </c>
      <c r="M317" s="3">
        <v>0</v>
      </c>
      <c r="N317" s="3">
        <v>1</v>
      </c>
      <c r="O317" s="3" t="s">
        <v>33</v>
      </c>
      <c r="P317" s="10" t="s">
        <v>576</v>
      </c>
      <c r="Q317" s="3" t="s">
        <v>77</v>
      </c>
      <c r="R317" s="3">
        <v>4</v>
      </c>
      <c r="S317" s="3">
        <v>0</v>
      </c>
      <c r="T317" s="10" t="s">
        <v>576</v>
      </c>
      <c r="U317" s="3" t="s">
        <v>36</v>
      </c>
      <c r="V317" s="3" t="s">
        <v>37</v>
      </c>
      <c r="W317" s="11" t="str" cm="1">
        <f t="array" ref="W317">IF(H317="Request","No SLA for Request", IF(F317="Emergency",B317+(4/24), WORKDAY(B317, _xlfn.IFS(F317="High", 3, F317="Normal", 5, F317="Low", 10))))</f>
        <v>No SLA for Request</v>
      </c>
      <c r="X317" t="str">
        <f t="shared" si="4"/>
        <v>N/A</v>
      </c>
    </row>
    <row r="318" spans="1:24" ht="12.75" x14ac:dyDescent="0.2">
      <c r="A318" s="3">
        <v>111444</v>
      </c>
      <c r="B318" s="8">
        <v>43998.375694444447</v>
      </c>
      <c r="C318" s="3" t="s">
        <v>626</v>
      </c>
      <c r="D318" s="3" t="s">
        <v>49</v>
      </c>
      <c r="E318" s="3" t="s">
        <v>50</v>
      </c>
      <c r="F318" s="3" t="s">
        <v>124</v>
      </c>
      <c r="G318" s="3" t="s">
        <v>29</v>
      </c>
      <c r="H318" s="3" t="s">
        <v>30</v>
      </c>
      <c r="I318" s="3" t="s">
        <v>31</v>
      </c>
      <c r="J318" s="3" t="s">
        <v>32</v>
      </c>
      <c r="K318" s="8">
        <v>44005.750694444447</v>
      </c>
      <c r="L318" s="12" t="s">
        <v>576</v>
      </c>
      <c r="M318" s="3">
        <v>0</v>
      </c>
      <c r="N318" s="3">
        <v>1</v>
      </c>
      <c r="O318" s="3" t="s">
        <v>33</v>
      </c>
      <c r="P318" s="10" t="s">
        <v>576</v>
      </c>
      <c r="Q318" s="3" t="s">
        <v>34</v>
      </c>
      <c r="R318" s="3">
        <v>15</v>
      </c>
      <c r="S318" s="3">
        <v>6</v>
      </c>
      <c r="T318" s="3" t="s">
        <v>35</v>
      </c>
      <c r="U318" s="3" t="s">
        <v>36</v>
      </c>
      <c r="V318" s="3" t="s">
        <v>48</v>
      </c>
      <c r="W318" s="11" cm="1">
        <f t="array" ref="W318">IF(H318="Request","No SLA for Request", IF(F318="Emergency",B318+(4/24), WORKDAY(B318, _xlfn.IFS(F318="High", 3, F318="Normal", 5, F318="Low", 10))))</f>
        <v>44005</v>
      </c>
      <c r="X318" t="str">
        <f t="shared" si="4"/>
        <v>Yes</v>
      </c>
    </row>
    <row r="319" spans="1:24" ht="12.75" x14ac:dyDescent="0.2">
      <c r="A319" s="3">
        <v>111442</v>
      </c>
      <c r="B319" s="8">
        <v>43997.433333333334</v>
      </c>
      <c r="C319" s="3" t="s">
        <v>413</v>
      </c>
      <c r="D319" s="3" t="s">
        <v>49</v>
      </c>
      <c r="E319" s="3" t="s">
        <v>50</v>
      </c>
      <c r="F319" s="3" t="s">
        <v>124</v>
      </c>
      <c r="G319" s="3" t="s">
        <v>29</v>
      </c>
      <c r="H319" s="3" t="s">
        <v>30</v>
      </c>
      <c r="I319" s="3" t="s">
        <v>31</v>
      </c>
      <c r="J319" s="3" t="s">
        <v>32</v>
      </c>
      <c r="K319" s="8">
        <v>44005.404861111114</v>
      </c>
      <c r="L319" s="12" t="s">
        <v>576</v>
      </c>
      <c r="M319" s="3">
        <v>0</v>
      </c>
      <c r="N319" s="3">
        <v>1</v>
      </c>
      <c r="O319" s="3" t="s">
        <v>33</v>
      </c>
      <c r="P319" s="10" t="s">
        <v>576</v>
      </c>
      <c r="Q319" s="3" t="s">
        <v>34</v>
      </c>
      <c r="R319" s="3">
        <v>8</v>
      </c>
      <c r="S319" s="3">
        <v>3</v>
      </c>
      <c r="T319" s="3" t="s">
        <v>35</v>
      </c>
      <c r="U319" s="3" t="s">
        <v>36</v>
      </c>
      <c r="V319" s="3" t="s">
        <v>48</v>
      </c>
      <c r="W319" s="11" cm="1">
        <f t="array" ref="W319">IF(H319="Request","No SLA for Request", IF(F319="Emergency",B319+(4/24), WORKDAY(B319, _xlfn.IFS(F319="High", 3, F319="Normal", 5, F319="Low", 10))))</f>
        <v>44004</v>
      </c>
      <c r="X319" t="str">
        <f t="shared" si="4"/>
        <v>Yes</v>
      </c>
    </row>
    <row r="320" spans="1:24" ht="12.75" x14ac:dyDescent="0.2">
      <c r="A320" s="3">
        <v>111423</v>
      </c>
      <c r="B320" s="8">
        <v>43971.618750000001</v>
      </c>
      <c r="C320" s="3" t="s">
        <v>627</v>
      </c>
      <c r="D320" s="3" t="s">
        <v>52</v>
      </c>
      <c r="E320" s="3" t="s">
        <v>580</v>
      </c>
      <c r="F320" s="3" t="s">
        <v>124</v>
      </c>
      <c r="G320" s="3" t="s">
        <v>29</v>
      </c>
      <c r="H320" s="3" t="s">
        <v>53</v>
      </c>
      <c r="I320" s="3" t="s">
        <v>31</v>
      </c>
      <c r="J320" s="3" t="s">
        <v>32</v>
      </c>
      <c r="K320" s="8">
        <v>44004.710416666669</v>
      </c>
      <c r="L320" s="12" t="s">
        <v>576</v>
      </c>
      <c r="M320" s="3">
        <v>0</v>
      </c>
      <c r="N320" s="3">
        <v>1</v>
      </c>
      <c r="O320" s="3" t="s">
        <v>33</v>
      </c>
      <c r="P320" s="10" t="s">
        <v>576</v>
      </c>
      <c r="Q320" s="3" t="s">
        <v>43</v>
      </c>
      <c r="R320" s="3">
        <v>4</v>
      </c>
      <c r="S320" s="3">
        <v>3</v>
      </c>
      <c r="T320" s="3" t="s">
        <v>54</v>
      </c>
      <c r="U320" s="3" t="s">
        <v>55</v>
      </c>
      <c r="V320" s="3" t="s">
        <v>48</v>
      </c>
      <c r="W320" s="11" t="str" cm="1">
        <f t="array" ref="W320">IF(H320="Request","No SLA for Request", IF(F320="Emergency",B320+(4/24), WORKDAY(B320, _xlfn.IFS(F320="High", 3, F320="Normal", 5, F320="Low", 10))))</f>
        <v>No SLA for Request</v>
      </c>
      <c r="X320" t="str">
        <f t="shared" si="4"/>
        <v>N/A</v>
      </c>
    </row>
    <row r="321" spans="1:24" ht="12.75" x14ac:dyDescent="0.2">
      <c r="A321" s="3">
        <v>111426</v>
      </c>
      <c r="B321" s="8">
        <v>43979.461805555555</v>
      </c>
      <c r="C321" s="3" t="s">
        <v>628</v>
      </c>
      <c r="D321" s="3" t="s">
        <v>52</v>
      </c>
      <c r="E321" s="3" t="s">
        <v>580</v>
      </c>
      <c r="F321" s="3" t="s">
        <v>124</v>
      </c>
      <c r="G321" s="3" t="s">
        <v>29</v>
      </c>
      <c r="H321" s="3" t="s">
        <v>53</v>
      </c>
      <c r="I321" s="3" t="s">
        <v>31</v>
      </c>
      <c r="J321" s="3" t="s">
        <v>32</v>
      </c>
      <c r="K321" s="8">
        <v>44004.709722222222</v>
      </c>
      <c r="L321" s="12" t="s">
        <v>576</v>
      </c>
      <c r="M321" s="3">
        <v>0</v>
      </c>
      <c r="N321" s="3">
        <v>1</v>
      </c>
      <c r="O321" s="3" t="s">
        <v>33</v>
      </c>
      <c r="P321" s="10" t="s">
        <v>576</v>
      </c>
      <c r="Q321" s="3" t="s">
        <v>43</v>
      </c>
      <c r="R321" s="3">
        <v>4</v>
      </c>
      <c r="S321" s="3">
        <v>0</v>
      </c>
      <c r="T321" s="3" t="s">
        <v>54</v>
      </c>
      <c r="U321" s="3" t="s">
        <v>55</v>
      </c>
      <c r="V321" s="3" t="s">
        <v>48</v>
      </c>
      <c r="W321" s="11" t="str" cm="1">
        <f t="array" ref="W321">IF(H321="Request","No SLA for Request", IF(F321="Emergency",B321+(4/24), WORKDAY(B321, _xlfn.IFS(F321="High", 3, F321="Normal", 5, F321="Low", 10))))</f>
        <v>No SLA for Request</v>
      </c>
      <c r="X321" t="str">
        <f t="shared" si="4"/>
        <v>N/A</v>
      </c>
    </row>
    <row r="322" spans="1:24" ht="12.75" x14ac:dyDescent="0.2">
      <c r="A322" s="3">
        <v>111428</v>
      </c>
      <c r="B322" s="8">
        <v>43980.724305555559</v>
      </c>
      <c r="C322" s="3" t="s">
        <v>414</v>
      </c>
      <c r="D322" s="3" t="s">
        <v>49</v>
      </c>
      <c r="E322" s="3" t="s">
        <v>50</v>
      </c>
      <c r="F322" s="3" t="s">
        <v>124</v>
      </c>
      <c r="G322" s="3" t="s">
        <v>29</v>
      </c>
      <c r="H322" s="3" t="s">
        <v>53</v>
      </c>
      <c r="I322" s="3" t="s">
        <v>31</v>
      </c>
      <c r="J322" s="3" t="s">
        <v>32</v>
      </c>
      <c r="K322" s="8">
        <v>43999.592361111114</v>
      </c>
      <c r="L322" s="12" t="s">
        <v>576</v>
      </c>
      <c r="M322" s="3">
        <v>0</v>
      </c>
      <c r="N322" s="3">
        <v>1</v>
      </c>
      <c r="O322" s="3" t="s">
        <v>33</v>
      </c>
      <c r="P322" s="10" t="s">
        <v>576</v>
      </c>
      <c r="Q322" s="3" t="s">
        <v>34</v>
      </c>
      <c r="R322" s="3">
        <v>5</v>
      </c>
      <c r="S322" s="3">
        <v>0</v>
      </c>
      <c r="T322" s="3" t="s">
        <v>54</v>
      </c>
      <c r="U322" s="3" t="s">
        <v>62</v>
      </c>
      <c r="V322" s="3" t="s">
        <v>48</v>
      </c>
      <c r="W322" s="11" t="str" cm="1">
        <f t="array" ref="W322">IF(H322="Request","No SLA for Request", IF(F322="Emergency",B322+(4/24), WORKDAY(B322, _xlfn.IFS(F322="High", 3, F322="Normal", 5, F322="Low", 10))))</f>
        <v>No SLA for Request</v>
      </c>
      <c r="X322" t="str">
        <f t="shared" si="4"/>
        <v>N/A</v>
      </c>
    </row>
    <row r="323" spans="1:24" ht="12.75" x14ac:dyDescent="0.2">
      <c r="A323" s="3">
        <v>111379</v>
      </c>
      <c r="B323" s="8">
        <v>43857.727777777778</v>
      </c>
      <c r="C323" s="3" t="s">
        <v>415</v>
      </c>
      <c r="D323" s="3" t="s">
        <v>49</v>
      </c>
      <c r="E323" s="3" t="s">
        <v>50</v>
      </c>
      <c r="F323" s="3" t="s">
        <v>124</v>
      </c>
      <c r="G323" s="3" t="s">
        <v>29</v>
      </c>
      <c r="H323" s="3" t="s">
        <v>53</v>
      </c>
      <c r="I323" s="3" t="s">
        <v>31</v>
      </c>
      <c r="J323" s="3" t="s">
        <v>32</v>
      </c>
      <c r="K323" s="8">
        <v>43998.744444444441</v>
      </c>
      <c r="L323" s="12" t="s">
        <v>576</v>
      </c>
      <c r="M323" s="3">
        <v>0</v>
      </c>
      <c r="N323" s="3">
        <v>1</v>
      </c>
      <c r="O323" s="3" t="s">
        <v>33</v>
      </c>
      <c r="P323" s="10" t="s">
        <v>576</v>
      </c>
      <c r="Q323" s="3" t="s">
        <v>34</v>
      </c>
      <c r="R323" s="3">
        <v>9</v>
      </c>
      <c r="S323" s="3">
        <v>0</v>
      </c>
      <c r="T323" s="3" t="s">
        <v>54</v>
      </c>
      <c r="U323" s="3" t="s">
        <v>62</v>
      </c>
      <c r="V323" s="3" t="s">
        <v>37</v>
      </c>
      <c r="W323" s="11" t="str" cm="1">
        <f t="array" ref="W323">IF(H323="Request","No SLA for Request", IF(F323="Emergency",B323+(4/24), WORKDAY(B323, _xlfn.IFS(F323="High", 3, F323="Normal", 5, F323="Low", 10))))</f>
        <v>No SLA for Request</v>
      </c>
      <c r="X323" t="str">
        <f t="shared" ref="X323:X386" si="5">IF(K323&gt;=W323,"Yes",IF(W323="No SLA for Request","N/A","No"))</f>
        <v>N/A</v>
      </c>
    </row>
    <row r="324" spans="1:24" ht="12.75" x14ac:dyDescent="0.2">
      <c r="A324" s="3">
        <v>111412</v>
      </c>
      <c r="B324" s="8">
        <v>43938.480555555558</v>
      </c>
      <c r="C324" s="3" t="s">
        <v>416</v>
      </c>
      <c r="D324" s="3" t="s">
        <v>70</v>
      </c>
      <c r="E324" s="3" t="s">
        <v>71</v>
      </c>
      <c r="F324" s="3" t="s">
        <v>124</v>
      </c>
      <c r="G324" s="3" t="s">
        <v>29</v>
      </c>
      <c r="H324" s="3" t="s">
        <v>30</v>
      </c>
      <c r="I324" s="3" t="s">
        <v>31</v>
      </c>
      <c r="J324" s="3" t="s">
        <v>32</v>
      </c>
      <c r="K324" s="8">
        <v>43998.743055555555</v>
      </c>
      <c r="L324" s="12" t="s">
        <v>576</v>
      </c>
      <c r="M324" s="3">
        <v>0</v>
      </c>
      <c r="N324" s="3">
        <v>1</v>
      </c>
      <c r="O324" s="3" t="s">
        <v>33</v>
      </c>
      <c r="P324" s="10" t="s">
        <v>576</v>
      </c>
      <c r="Q324" s="3" t="s">
        <v>43</v>
      </c>
      <c r="R324" s="3">
        <v>10</v>
      </c>
      <c r="S324" s="3">
        <v>2</v>
      </c>
      <c r="T324" s="3" t="s">
        <v>54</v>
      </c>
      <c r="U324" s="3" t="s">
        <v>55</v>
      </c>
      <c r="V324" s="3" t="s">
        <v>48</v>
      </c>
      <c r="W324" s="11" cm="1">
        <f t="array" ref="W324">IF(H324="Request","No SLA for Request", IF(F324="Emergency",B324+(4/24), WORKDAY(B324, _xlfn.IFS(F324="High", 3, F324="Normal", 5, F324="Low", 10))))</f>
        <v>43945</v>
      </c>
      <c r="X324" t="str">
        <f t="shared" si="5"/>
        <v>Yes</v>
      </c>
    </row>
    <row r="325" spans="1:24" ht="12.75" x14ac:dyDescent="0.2">
      <c r="A325" s="3">
        <v>111415</v>
      </c>
      <c r="B325" s="8">
        <v>43941.541666666664</v>
      </c>
      <c r="C325" s="3" t="s">
        <v>417</v>
      </c>
      <c r="D325" s="3" t="s">
        <v>96</v>
      </c>
      <c r="E325" s="3" t="s">
        <v>97</v>
      </c>
      <c r="F325" s="3" t="s">
        <v>124</v>
      </c>
      <c r="G325" s="3" t="s">
        <v>29</v>
      </c>
      <c r="H325" s="3" t="s">
        <v>30</v>
      </c>
      <c r="I325" s="3" t="s">
        <v>31</v>
      </c>
      <c r="J325" s="3" t="s">
        <v>32</v>
      </c>
      <c r="K325" s="8">
        <v>43998.742361111108</v>
      </c>
      <c r="L325" s="12" t="s">
        <v>576</v>
      </c>
      <c r="M325" s="3">
        <v>0</v>
      </c>
      <c r="N325" s="3">
        <v>1</v>
      </c>
      <c r="O325" s="3" t="s">
        <v>33</v>
      </c>
      <c r="P325" s="10" t="s">
        <v>576</v>
      </c>
      <c r="Q325" s="3" t="s">
        <v>43</v>
      </c>
      <c r="R325" s="3">
        <v>9</v>
      </c>
      <c r="S325" s="3">
        <v>6</v>
      </c>
      <c r="T325" s="3" t="s">
        <v>35</v>
      </c>
      <c r="U325" s="3" t="s">
        <v>36</v>
      </c>
      <c r="V325" s="3" t="s">
        <v>48</v>
      </c>
      <c r="W325" s="11" cm="1">
        <f t="array" ref="W325">IF(H325="Request","No SLA for Request", IF(F325="Emergency",B325+(4/24), WORKDAY(B325, _xlfn.IFS(F325="High", 3, F325="Normal", 5, F325="Low", 10))))</f>
        <v>43948</v>
      </c>
      <c r="X325" t="str">
        <f t="shared" si="5"/>
        <v>Yes</v>
      </c>
    </row>
    <row r="326" spans="1:24" ht="12.75" x14ac:dyDescent="0.2">
      <c r="A326" s="3">
        <v>111438</v>
      </c>
      <c r="B326" s="8">
        <v>43990.553472222222</v>
      </c>
      <c r="C326" s="3" t="s">
        <v>418</v>
      </c>
      <c r="D326" s="3" t="s">
        <v>26</v>
      </c>
      <c r="E326" s="3" t="s">
        <v>27</v>
      </c>
      <c r="F326" s="3" t="s">
        <v>124</v>
      </c>
      <c r="G326" s="3" t="s">
        <v>29</v>
      </c>
      <c r="H326" s="3" t="s">
        <v>30</v>
      </c>
      <c r="I326" s="3" t="s">
        <v>31</v>
      </c>
      <c r="J326" s="3" t="s">
        <v>32</v>
      </c>
      <c r="K326" s="8">
        <v>43998.740972222222</v>
      </c>
      <c r="L326" s="12" t="s">
        <v>576</v>
      </c>
      <c r="M326" s="3">
        <v>0</v>
      </c>
      <c r="N326" s="3">
        <v>1</v>
      </c>
      <c r="O326" s="3" t="s">
        <v>33</v>
      </c>
      <c r="P326" s="10" t="s">
        <v>576</v>
      </c>
      <c r="Q326" s="3" t="s">
        <v>34</v>
      </c>
      <c r="R326" s="3">
        <v>8</v>
      </c>
      <c r="S326" s="3">
        <v>2</v>
      </c>
      <c r="T326" s="3" t="s">
        <v>35</v>
      </c>
      <c r="U326" s="3" t="s">
        <v>36</v>
      </c>
      <c r="V326" s="3" t="s">
        <v>37</v>
      </c>
      <c r="W326" s="11" cm="1">
        <f t="array" ref="W326">IF(H326="Request","No SLA for Request", IF(F326="Emergency",B326+(4/24), WORKDAY(B326, _xlfn.IFS(F326="High", 3, F326="Normal", 5, F326="Low", 10))))</f>
        <v>43997</v>
      </c>
      <c r="X326" t="str">
        <f t="shared" si="5"/>
        <v>Yes</v>
      </c>
    </row>
    <row r="327" spans="1:24" ht="12.75" x14ac:dyDescent="0.2">
      <c r="A327" s="3">
        <v>111406</v>
      </c>
      <c r="B327" s="8">
        <v>43927.547222222223</v>
      </c>
      <c r="C327" s="3" t="s">
        <v>419</v>
      </c>
      <c r="D327" s="3" t="s">
        <v>70</v>
      </c>
      <c r="E327" s="3" t="s">
        <v>71</v>
      </c>
      <c r="F327" s="3" t="s">
        <v>124</v>
      </c>
      <c r="G327" s="3" t="s">
        <v>29</v>
      </c>
      <c r="H327" s="3" t="s">
        <v>30</v>
      </c>
      <c r="I327" s="3" t="s">
        <v>31</v>
      </c>
      <c r="J327" s="3" t="s">
        <v>32</v>
      </c>
      <c r="K327" s="8">
        <v>43992.728472222225</v>
      </c>
      <c r="L327" s="12" t="s">
        <v>576</v>
      </c>
      <c r="M327" s="3">
        <v>0</v>
      </c>
      <c r="N327" s="3">
        <v>1</v>
      </c>
      <c r="O327" s="3" t="s">
        <v>33</v>
      </c>
      <c r="P327" s="10" t="s">
        <v>576</v>
      </c>
      <c r="Q327" s="3" t="s">
        <v>43</v>
      </c>
      <c r="R327" s="3">
        <v>25</v>
      </c>
      <c r="S327" s="3">
        <v>9</v>
      </c>
      <c r="T327" s="3" t="s">
        <v>54</v>
      </c>
      <c r="U327" s="3" t="s">
        <v>55</v>
      </c>
      <c r="V327" s="3" t="s">
        <v>37</v>
      </c>
      <c r="W327" s="11" cm="1">
        <f t="array" ref="W327">IF(H327="Request","No SLA for Request", IF(F327="Emergency",B327+(4/24), WORKDAY(B327, _xlfn.IFS(F327="High", 3, F327="Normal", 5, F327="Low", 10))))</f>
        <v>43934</v>
      </c>
      <c r="X327" t="str">
        <f t="shared" si="5"/>
        <v>Yes</v>
      </c>
    </row>
    <row r="328" spans="1:24" ht="12.75" x14ac:dyDescent="0.2">
      <c r="A328" s="3">
        <v>111431</v>
      </c>
      <c r="B328" s="8">
        <v>43984.813194444447</v>
      </c>
      <c r="C328" s="3" t="s">
        <v>629</v>
      </c>
      <c r="D328" s="3" t="s">
        <v>150</v>
      </c>
      <c r="E328" s="3" t="s">
        <v>151</v>
      </c>
      <c r="F328" s="3" t="s">
        <v>124</v>
      </c>
      <c r="G328" s="3" t="s">
        <v>577</v>
      </c>
      <c r="H328" s="3" t="s">
        <v>30</v>
      </c>
      <c r="I328" s="3" t="s">
        <v>61</v>
      </c>
      <c r="J328" s="3" t="s">
        <v>32</v>
      </c>
      <c r="K328" s="8">
        <v>43992.645138888889</v>
      </c>
      <c r="L328" s="8">
        <v>43985.708333333336</v>
      </c>
      <c r="M328" s="3">
        <v>0</v>
      </c>
      <c r="N328" s="3">
        <v>1</v>
      </c>
      <c r="O328" s="3" t="s">
        <v>58</v>
      </c>
      <c r="P328" s="10" t="s">
        <v>576</v>
      </c>
      <c r="Q328" s="3" t="s">
        <v>123</v>
      </c>
      <c r="R328" s="3">
        <v>4</v>
      </c>
      <c r="S328" s="3">
        <v>0</v>
      </c>
      <c r="T328" s="10" t="s">
        <v>576</v>
      </c>
      <c r="U328" s="3" t="s">
        <v>36</v>
      </c>
      <c r="V328" s="3" t="s">
        <v>37</v>
      </c>
      <c r="W328" s="11" cm="1">
        <f t="array" ref="W328">IF(H328="Request","No SLA for Request", IF(F328="Emergency",B328+(4/24), WORKDAY(B328, _xlfn.IFS(F328="High", 3, F328="Normal", 5, F328="Low", 10))))</f>
        <v>43991</v>
      </c>
      <c r="X328" t="str">
        <f t="shared" si="5"/>
        <v>Yes</v>
      </c>
    </row>
    <row r="329" spans="1:24" ht="12.75" x14ac:dyDescent="0.2">
      <c r="A329" s="3">
        <v>111439</v>
      </c>
      <c r="B329" s="8">
        <v>43991.477083333331</v>
      </c>
      <c r="C329" s="3" t="s">
        <v>420</v>
      </c>
      <c r="D329" s="3" t="s">
        <v>66</v>
      </c>
      <c r="E329" s="3" t="s">
        <v>67</v>
      </c>
      <c r="F329" s="3" t="s">
        <v>124</v>
      </c>
      <c r="G329" s="3" t="s">
        <v>577</v>
      </c>
      <c r="H329" s="3" t="s">
        <v>53</v>
      </c>
      <c r="I329" s="3" t="s">
        <v>68</v>
      </c>
      <c r="J329" s="3" t="s">
        <v>32</v>
      </c>
      <c r="K329" s="8">
        <v>43992.642361111109</v>
      </c>
      <c r="L329" s="8">
        <v>43992.708333333336</v>
      </c>
      <c r="M329" s="3">
        <v>0</v>
      </c>
      <c r="N329" s="3">
        <v>1</v>
      </c>
      <c r="O329" s="3" t="s">
        <v>58</v>
      </c>
      <c r="P329" s="10" t="s">
        <v>576</v>
      </c>
      <c r="Q329" s="3" t="s">
        <v>77</v>
      </c>
      <c r="R329" s="3">
        <v>4</v>
      </c>
      <c r="S329" s="3">
        <v>0</v>
      </c>
      <c r="T329" s="10" t="s">
        <v>576</v>
      </c>
      <c r="U329" s="3" t="s">
        <v>36</v>
      </c>
      <c r="V329" s="3" t="s">
        <v>37</v>
      </c>
      <c r="W329" s="11" t="str" cm="1">
        <f t="array" ref="W329">IF(H329="Request","No SLA for Request", IF(F329="Emergency",B329+(4/24), WORKDAY(B329, _xlfn.IFS(F329="High", 3, F329="Normal", 5, F329="Low", 10))))</f>
        <v>No SLA for Request</v>
      </c>
      <c r="X329" t="str">
        <f t="shared" si="5"/>
        <v>N/A</v>
      </c>
    </row>
    <row r="330" spans="1:24" ht="12.75" x14ac:dyDescent="0.2">
      <c r="A330" s="3">
        <v>111398</v>
      </c>
      <c r="B330" s="8">
        <v>43894.604861111111</v>
      </c>
      <c r="C330" s="3" t="s">
        <v>421</v>
      </c>
      <c r="D330" s="3" t="s">
        <v>103</v>
      </c>
      <c r="E330" s="3" t="s">
        <v>104</v>
      </c>
      <c r="F330" s="3" t="s">
        <v>124</v>
      </c>
      <c r="G330" s="3" t="s">
        <v>29</v>
      </c>
      <c r="H330" s="3" t="s">
        <v>53</v>
      </c>
      <c r="I330" s="3" t="s">
        <v>31</v>
      </c>
      <c r="J330" s="3" t="s">
        <v>32</v>
      </c>
      <c r="K330" s="8">
        <v>43972.734722222223</v>
      </c>
      <c r="L330" s="12" t="s">
        <v>576</v>
      </c>
      <c r="M330" s="3">
        <v>0</v>
      </c>
      <c r="N330" s="3">
        <v>1</v>
      </c>
      <c r="O330" s="3" t="s">
        <v>33</v>
      </c>
      <c r="P330" s="10" t="s">
        <v>576</v>
      </c>
      <c r="Q330" s="3" t="s">
        <v>43</v>
      </c>
      <c r="R330" s="3">
        <v>26</v>
      </c>
      <c r="S330" s="3">
        <v>3</v>
      </c>
      <c r="T330" s="3" t="s">
        <v>54</v>
      </c>
      <c r="U330" s="3" t="s">
        <v>55</v>
      </c>
      <c r="V330" s="3" t="s">
        <v>37</v>
      </c>
      <c r="W330" s="11" t="str" cm="1">
        <f t="array" ref="W330">IF(H330="Request","No SLA for Request", IF(F330="Emergency",B330+(4/24), WORKDAY(B330, _xlfn.IFS(F330="High", 3, F330="Normal", 5, F330="Low", 10))))</f>
        <v>No SLA for Request</v>
      </c>
      <c r="X330" t="str">
        <f t="shared" si="5"/>
        <v>N/A</v>
      </c>
    </row>
    <row r="331" spans="1:24" ht="12.75" x14ac:dyDescent="0.2">
      <c r="A331" s="3">
        <v>111385</v>
      </c>
      <c r="B331" s="8">
        <v>43872.511111111111</v>
      </c>
      <c r="C331" s="3" t="s">
        <v>164</v>
      </c>
      <c r="D331" s="3" t="s">
        <v>49</v>
      </c>
      <c r="E331" s="3" t="s">
        <v>50</v>
      </c>
      <c r="F331" s="3" t="s">
        <v>124</v>
      </c>
      <c r="G331" s="3" t="s">
        <v>29</v>
      </c>
      <c r="H331" s="3" t="s">
        <v>30</v>
      </c>
      <c r="I331" s="3" t="s">
        <v>31</v>
      </c>
      <c r="J331" s="3" t="s">
        <v>32</v>
      </c>
      <c r="K331" s="8">
        <v>43962.729166666664</v>
      </c>
      <c r="L331" s="12" t="s">
        <v>576</v>
      </c>
      <c r="M331" s="3">
        <v>0</v>
      </c>
      <c r="N331" s="3">
        <v>1</v>
      </c>
      <c r="O331" s="3" t="s">
        <v>33</v>
      </c>
      <c r="P331" s="10" t="s">
        <v>576</v>
      </c>
      <c r="Q331" s="3" t="s">
        <v>34</v>
      </c>
      <c r="R331" s="3">
        <v>45</v>
      </c>
      <c r="S331" s="3">
        <v>1</v>
      </c>
      <c r="T331" s="3" t="s">
        <v>35</v>
      </c>
      <c r="U331" s="3" t="s">
        <v>36</v>
      </c>
      <c r="V331" s="3" t="s">
        <v>48</v>
      </c>
      <c r="W331" s="11" cm="1">
        <f t="array" ref="W331">IF(H331="Request","No SLA for Request", IF(F331="Emergency",B331+(4/24), WORKDAY(B331, _xlfn.IFS(F331="High", 3, F331="Normal", 5, F331="Low", 10))))</f>
        <v>43879</v>
      </c>
      <c r="X331" t="str">
        <f t="shared" si="5"/>
        <v>Yes</v>
      </c>
    </row>
    <row r="332" spans="1:24" ht="12.75" x14ac:dyDescent="0.2">
      <c r="A332" s="3">
        <v>111419</v>
      </c>
      <c r="B332" s="8">
        <v>43951.788194444445</v>
      </c>
      <c r="C332" s="3" t="s">
        <v>422</v>
      </c>
      <c r="D332" s="3" t="s">
        <v>49</v>
      </c>
      <c r="E332" s="3" t="s">
        <v>50</v>
      </c>
      <c r="F332" s="3" t="s">
        <v>124</v>
      </c>
      <c r="G332" s="3" t="s">
        <v>29</v>
      </c>
      <c r="H332" s="3" t="s">
        <v>30</v>
      </c>
      <c r="I332" s="3" t="s">
        <v>31</v>
      </c>
      <c r="J332" s="3" t="s">
        <v>32</v>
      </c>
      <c r="K332" s="8">
        <v>43959.761111111111</v>
      </c>
      <c r="L332" s="12" t="s">
        <v>576</v>
      </c>
      <c r="M332" s="3">
        <v>0</v>
      </c>
      <c r="N332" s="3">
        <v>1</v>
      </c>
      <c r="O332" s="3" t="s">
        <v>33</v>
      </c>
      <c r="P332" s="10" t="s">
        <v>576</v>
      </c>
      <c r="Q332" s="3" t="s">
        <v>34</v>
      </c>
      <c r="R332" s="3">
        <v>5</v>
      </c>
      <c r="S332" s="3">
        <v>1</v>
      </c>
      <c r="T332" s="3" t="s">
        <v>35</v>
      </c>
      <c r="U332" s="3" t="s">
        <v>36</v>
      </c>
      <c r="V332" s="3" t="s">
        <v>37</v>
      </c>
      <c r="W332" s="11" cm="1">
        <f t="array" ref="W332">IF(H332="Request","No SLA for Request", IF(F332="Emergency",B332+(4/24), WORKDAY(B332, _xlfn.IFS(F332="High", 3, F332="Normal", 5, F332="Low", 10))))</f>
        <v>43958</v>
      </c>
      <c r="X332" t="str">
        <f t="shared" si="5"/>
        <v>Yes</v>
      </c>
    </row>
    <row r="333" spans="1:24" ht="12.75" x14ac:dyDescent="0.2">
      <c r="A333" s="3">
        <v>111421</v>
      </c>
      <c r="B333" s="8">
        <v>43958.623611111114</v>
      </c>
      <c r="C333" s="3" t="s">
        <v>630</v>
      </c>
      <c r="D333" s="3" t="s">
        <v>143</v>
      </c>
      <c r="E333" s="3" t="s">
        <v>144</v>
      </c>
      <c r="F333" s="3" t="s">
        <v>124</v>
      </c>
      <c r="G333" s="3" t="s">
        <v>29</v>
      </c>
      <c r="H333" s="3" t="s">
        <v>53</v>
      </c>
      <c r="I333" s="3" t="s">
        <v>31</v>
      </c>
      <c r="J333" s="3" t="s">
        <v>32</v>
      </c>
      <c r="K333" s="8">
        <v>43959.402777777781</v>
      </c>
      <c r="L333" s="12" t="s">
        <v>576</v>
      </c>
      <c r="M333" s="3">
        <v>0</v>
      </c>
      <c r="N333" s="3">
        <v>1</v>
      </c>
      <c r="O333" s="3" t="s">
        <v>33</v>
      </c>
      <c r="P333" s="10" t="s">
        <v>576</v>
      </c>
      <c r="Q333" s="3" t="s">
        <v>34</v>
      </c>
      <c r="R333" s="3">
        <v>6</v>
      </c>
      <c r="S333" s="3">
        <v>0</v>
      </c>
      <c r="T333" s="3" t="s">
        <v>54</v>
      </c>
      <c r="U333" s="3" t="s">
        <v>62</v>
      </c>
      <c r="V333" s="3" t="s">
        <v>48</v>
      </c>
      <c r="W333" s="11" t="str" cm="1">
        <f t="array" ref="W333">IF(H333="Request","No SLA for Request", IF(F333="Emergency",B333+(4/24), WORKDAY(B333, _xlfn.IFS(F333="High", 3, F333="Normal", 5, F333="Low", 10))))</f>
        <v>No SLA for Request</v>
      </c>
      <c r="X333" t="str">
        <f t="shared" si="5"/>
        <v>N/A</v>
      </c>
    </row>
    <row r="334" spans="1:24" ht="12.75" x14ac:dyDescent="0.2">
      <c r="A334" s="3">
        <v>111410</v>
      </c>
      <c r="B334" s="8">
        <v>43936.535416666666</v>
      </c>
      <c r="C334" s="3" t="s">
        <v>165</v>
      </c>
      <c r="D334" s="3" t="s">
        <v>143</v>
      </c>
      <c r="E334" s="3" t="s">
        <v>144</v>
      </c>
      <c r="F334" s="3" t="s">
        <v>124</v>
      </c>
      <c r="G334" s="3" t="s">
        <v>577</v>
      </c>
      <c r="H334" s="3" t="s">
        <v>30</v>
      </c>
      <c r="I334" s="3" t="s">
        <v>61</v>
      </c>
      <c r="J334" s="3" t="s">
        <v>32</v>
      </c>
      <c r="K334" s="8">
        <v>43950.729861111111</v>
      </c>
      <c r="L334" s="8">
        <v>43936.708333333336</v>
      </c>
      <c r="M334" s="3">
        <v>0</v>
      </c>
      <c r="N334" s="3">
        <v>1</v>
      </c>
      <c r="O334" s="3" t="s">
        <v>58</v>
      </c>
      <c r="P334" s="10" t="s">
        <v>576</v>
      </c>
      <c r="Q334" s="3" t="s">
        <v>123</v>
      </c>
      <c r="R334" s="3">
        <v>13</v>
      </c>
      <c r="S334" s="3">
        <v>2</v>
      </c>
      <c r="T334" s="10" t="s">
        <v>576</v>
      </c>
      <c r="U334" s="10" t="s">
        <v>576</v>
      </c>
      <c r="V334" s="3" t="s">
        <v>48</v>
      </c>
      <c r="W334" s="11" cm="1">
        <f t="array" ref="W334">IF(H334="Request","No SLA for Request", IF(F334="Emergency",B334+(4/24), WORKDAY(B334, _xlfn.IFS(F334="High", 3, F334="Normal", 5, F334="Low", 10))))</f>
        <v>43943</v>
      </c>
      <c r="X334" t="str">
        <f t="shared" si="5"/>
        <v>Yes</v>
      </c>
    </row>
    <row r="335" spans="1:24" ht="12.75" x14ac:dyDescent="0.2">
      <c r="A335" s="3">
        <v>111413</v>
      </c>
      <c r="B335" s="8">
        <v>43938.770138888889</v>
      </c>
      <c r="C335" s="3" t="s">
        <v>376</v>
      </c>
      <c r="D335" s="3" t="s">
        <v>142</v>
      </c>
      <c r="E335" s="3" t="s">
        <v>613</v>
      </c>
      <c r="F335" s="3" t="s">
        <v>124</v>
      </c>
      <c r="G335" s="3" t="s">
        <v>577</v>
      </c>
      <c r="H335" s="3" t="s">
        <v>30</v>
      </c>
      <c r="I335" s="3" t="s">
        <v>31</v>
      </c>
      <c r="J335" s="3" t="s">
        <v>51</v>
      </c>
      <c r="K335" s="8">
        <v>43938.770138888889</v>
      </c>
      <c r="L335" s="8">
        <v>43939.270138888889</v>
      </c>
      <c r="M335" s="3">
        <v>1</v>
      </c>
      <c r="N335" s="3">
        <v>0</v>
      </c>
      <c r="O335" s="3" t="s">
        <v>116</v>
      </c>
      <c r="P335" s="10" t="s">
        <v>576</v>
      </c>
      <c r="Q335" s="3" t="s">
        <v>77</v>
      </c>
      <c r="R335" s="3">
        <v>1</v>
      </c>
      <c r="S335" s="3">
        <v>0</v>
      </c>
      <c r="T335" s="3" t="s">
        <v>35</v>
      </c>
      <c r="U335" s="3" t="s">
        <v>36</v>
      </c>
      <c r="V335" s="3" t="s">
        <v>37</v>
      </c>
      <c r="W335" s="11" cm="1">
        <f t="array" ref="W335">IF(H335="Request","No SLA for Request", IF(F335="Emergency",B335+(4/24), WORKDAY(B335, _xlfn.IFS(F335="High", 3, F335="Normal", 5, F335="Low", 10))))</f>
        <v>43945</v>
      </c>
      <c r="X335" t="str">
        <f t="shared" si="5"/>
        <v>No</v>
      </c>
    </row>
    <row r="336" spans="1:24" ht="12.75" x14ac:dyDescent="0.2">
      <c r="A336" s="3">
        <v>111402</v>
      </c>
      <c r="B336" s="8">
        <v>43907.376388888886</v>
      </c>
      <c r="C336" s="3" t="s">
        <v>423</v>
      </c>
      <c r="D336" s="3" t="s">
        <v>49</v>
      </c>
      <c r="E336" s="3" t="s">
        <v>50</v>
      </c>
      <c r="F336" s="3" t="s">
        <v>124</v>
      </c>
      <c r="G336" s="3" t="s">
        <v>29</v>
      </c>
      <c r="H336" s="3" t="s">
        <v>30</v>
      </c>
      <c r="I336" s="3" t="s">
        <v>31</v>
      </c>
      <c r="J336" s="3" t="s">
        <v>32</v>
      </c>
      <c r="K336" s="8">
        <v>43923.724305555559</v>
      </c>
      <c r="L336" s="12" t="s">
        <v>576</v>
      </c>
      <c r="M336" s="3">
        <v>0</v>
      </c>
      <c r="N336" s="3">
        <v>1</v>
      </c>
      <c r="O336" s="3" t="s">
        <v>33</v>
      </c>
      <c r="P336" s="10" t="s">
        <v>576</v>
      </c>
      <c r="Q336" s="3" t="s">
        <v>34</v>
      </c>
      <c r="R336" s="3">
        <v>10</v>
      </c>
      <c r="S336" s="3">
        <v>2</v>
      </c>
      <c r="T336" s="3" t="s">
        <v>35</v>
      </c>
      <c r="U336" s="3" t="s">
        <v>62</v>
      </c>
      <c r="V336" s="3" t="s">
        <v>48</v>
      </c>
      <c r="W336" s="11" cm="1">
        <f t="array" ref="W336">IF(H336="Request","No SLA for Request", IF(F336="Emergency",B336+(4/24), WORKDAY(B336, _xlfn.IFS(F336="High", 3, F336="Normal", 5, F336="Low", 10))))</f>
        <v>43914</v>
      </c>
      <c r="X336" t="str">
        <f t="shared" si="5"/>
        <v>Yes</v>
      </c>
    </row>
    <row r="337" spans="1:24" ht="12.75" x14ac:dyDescent="0.2">
      <c r="A337" s="3">
        <v>111397</v>
      </c>
      <c r="B337" s="8">
        <v>43894.542361111111</v>
      </c>
      <c r="C337" s="3" t="s">
        <v>424</v>
      </c>
      <c r="D337" s="3" t="s">
        <v>49</v>
      </c>
      <c r="E337" s="3" t="s">
        <v>50</v>
      </c>
      <c r="F337" s="3" t="s">
        <v>124</v>
      </c>
      <c r="G337" s="3" t="s">
        <v>29</v>
      </c>
      <c r="H337" s="3" t="s">
        <v>30</v>
      </c>
      <c r="I337" s="3" t="s">
        <v>31</v>
      </c>
      <c r="J337" s="3" t="s">
        <v>32</v>
      </c>
      <c r="K337" s="8">
        <v>43916.779166666667</v>
      </c>
      <c r="L337" s="12" t="s">
        <v>576</v>
      </c>
      <c r="M337" s="3">
        <v>0</v>
      </c>
      <c r="N337" s="3">
        <v>1</v>
      </c>
      <c r="O337" s="3" t="s">
        <v>33</v>
      </c>
      <c r="P337" s="10" t="s">
        <v>576</v>
      </c>
      <c r="Q337" s="3" t="s">
        <v>34</v>
      </c>
      <c r="R337" s="3">
        <v>6</v>
      </c>
      <c r="S337" s="3">
        <v>2</v>
      </c>
      <c r="T337" s="3" t="s">
        <v>54</v>
      </c>
      <c r="U337" s="3" t="s">
        <v>62</v>
      </c>
      <c r="V337" s="3" t="s">
        <v>37</v>
      </c>
      <c r="W337" s="11" cm="1">
        <f t="array" ref="W337">IF(H337="Request","No SLA for Request", IF(F337="Emergency",B337+(4/24), WORKDAY(B337, _xlfn.IFS(F337="High", 3, F337="Normal", 5, F337="Low", 10))))</f>
        <v>43901</v>
      </c>
      <c r="X337" t="str">
        <f t="shared" si="5"/>
        <v>Yes</v>
      </c>
    </row>
    <row r="338" spans="1:24" ht="12.75" x14ac:dyDescent="0.2">
      <c r="A338" s="3">
        <v>111388</v>
      </c>
      <c r="B338" s="8">
        <v>43874.476388888892</v>
      </c>
      <c r="C338" s="3" t="s">
        <v>425</v>
      </c>
      <c r="D338" s="3" t="s">
        <v>96</v>
      </c>
      <c r="E338" s="3" t="s">
        <v>97</v>
      </c>
      <c r="F338" s="3" t="s">
        <v>124</v>
      </c>
      <c r="G338" s="3" t="s">
        <v>29</v>
      </c>
      <c r="H338" s="3" t="s">
        <v>30</v>
      </c>
      <c r="I338" s="3" t="s">
        <v>31</v>
      </c>
      <c r="J338" s="3" t="s">
        <v>32</v>
      </c>
      <c r="K338" s="8">
        <v>43914.714583333334</v>
      </c>
      <c r="L338" s="12" t="s">
        <v>576</v>
      </c>
      <c r="M338" s="3">
        <v>0</v>
      </c>
      <c r="N338" s="3">
        <v>1</v>
      </c>
      <c r="O338" s="3" t="s">
        <v>33</v>
      </c>
      <c r="P338" s="10" t="s">
        <v>576</v>
      </c>
      <c r="Q338" s="3" t="s">
        <v>43</v>
      </c>
      <c r="R338" s="3">
        <v>10</v>
      </c>
      <c r="S338" s="3">
        <v>4</v>
      </c>
      <c r="T338" s="3" t="s">
        <v>35</v>
      </c>
      <c r="U338" s="3" t="s">
        <v>62</v>
      </c>
      <c r="V338" s="3" t="s">
        <v>37</v>
      </c>
      <c r="W338" s="11" cm="1">
        <f t="array" ref="W338">IF(H338="Request","No SLA for Request", IF(F338="Emergency",B338+(4/24), WORKDAY(B338, _xlfn.IFS(F338="High", 3, F338="Normal", 5, F338="Low", 10))))</f>
        <v>43881</v>
      </c>
      <c r="X338" t="str">
        <f t="shared" si="5"/>
        <v>Yes</v>
      </c>
    </row>
    <row r="339" spans="1:24" ht="12.75" x14ac:dyDescent="0.2">
      <c r="A339" s="3">
        <v>111396</v>
      </c>
      <c r="B339" s="8">
        <v>43893.603472222225</v>
      </c>
      <c r="C339" s="3" t="s">
        <v>426</v>
      </c>
      <c r="D339" s="3" t="s">
        <v>70</v>
      </c>
      <c r="E339" s="3" t="s">
        <v>71</v>
      </c>
      <c r="F339" s="3" t="s">
        <v>124</v>
      </c>
      <c r="G339" s="3" t="s">
        <v>29</v>
      </c>
      <c r="H339" s="3" t="s">
        <v>30</v>
      </c>
      <c r="I339" s="3" t="s">
        <v>31</v>
      </c>
      <c r="J339" s="3" t="s">
        <v>32</v>
      </c>
      <c r="K339" s="8">
        <v>43914.714583333334</v>
      </c>
      <c r="L339" s="12" t="s">
        <v>576</v>
      </c>
      <c r="M339" s="3">
        <v>0</v>
      </c>
      <c r="N339" s="3">
        <v>1</v>
      </c>
      <c r="O339" s="3" t="s">
        <v>33</v>
      </c>
      <c r="P339" s="10" t="s">
        <v>576</v>
      </c>
      <c r="Q339" s="3" t="s">
        <v>43</v>
      </c>
      <c r="R339" s="3">
        <v>11</v>
      </c>
      <c r="S339" s="3">
        <v>5</v>
      </c>
      <c r="T339" s="3" t="s">
        <v>35</v>
      </c>
      <c r="U339" s="3" t="s">
        <v>62</v>
      </c>
      <c r="V339" s="3" t="s">
        <v>37</v>
      </c>
      <c r="W339" s="11" cm="1">
        <f t="array" ref="W339">IF(H339="Request","No SLA for Request", IF(F339="Emergency",B339+(4/24), WORKDAY(B339, _xlfn.IFS(F339="High", 3, F339="Normal", 5, F339="Low", 10))))</f>
        <v>43900</v>
      </c>
      <c r="X339" t="str">
        <f t="shared" si="5"/>
        <v>Yes</v>
      </c>
    </row>
    <row r="340" spans="1:24" ht="12.75" x14ac:dyDescent="0.2">
      <c r="A340" s="3">
        <v>111373</v>
      </c>
      <c r="B340" s="8">
        <v>43846.498611111114</v>
      </c>
      <c r="C340" s="3" t="s">
        <v>631</v>
      </c>
      <c r="D340" s="3" t="s">
        <v>73</v>
      </c>
      <c r="E340" s="3" t="s">
        <v>74</v>
      </c>
      <c r="F340" s="3" t="s">
        <v>124</v>
      </c>
      <c r="G340" s="3" t="s">
        <v>29</v>
      </c>
      <c r="H340" s="3" t="s">
        <v>53</v>
      </c>
      <c r="I340" s="3" t="s">
        <v>31</v>
      </c>
      <c r="J340" s="3" t="s">
        <v>32</v>
      </c>
      <c r="K340" s="8">
        <v>43908.739583333336</v>
      </c>
      <c r="L340" s="12" t="s">
        <v>576</v>
      </c>
      <c r="M340" s="3">
        <v>0</v>
      </c>
      <c r="N340" s="3">
        <v>1</v>
      </c>
      <c r="O340" s="3" t="s">
        <v>33</v>
      </c>
      <c r="P340" s="10" t="s">
        <v>576</v>
      </c>
      <c r="Q340" s="3" t="s">
        <v>34</v>
      </c>
      <c r="R340" s="3">
        <v>11</v>
      </c>
      <c r="S340" s="3">
        <v>1</v>
      </c>
      <c r="T340" s="3" t="s">
        <v>54</v>
      </c>
      <c r="U340" s="3" t="s">
        <v>62</v>
      </c>
      <c r="V340" s="3" t="s">
        <v>48</v>
      </c>
      <c r="W340" s="11" t="str" cm="1">
        <f t="array" ref="W340">IF(H340="Request","No SLA for Request", IF(F340="Emergency",B340+(4/24), WORKDAY(B340, _xlfn.IFS(F340="High", 3, F340="Normal", 5, F340="Low", 10))))</f>
        <v>No SLA for Request</v>
      </c>
      <c r="X340" t="str">
        <f t="shared" si="5"/>
        <v>N/A</v>
      </c>
    </row>
    <row r="341" spans="1:24" ht="12.75" x14ac:dyDescent="0.2">
      <c r="A341" s="3">
        <v>111372</v>
      </c>
      <c r="B341" s="8">
        <v>43846.430555555555</v>
      </c>
      <c r="C341" s="3" t="s">
        <v>427</v>
      </c>
      <c r="D341" s="3" t="s">
        <v>73</v>
      </c>
      <c r="E341" s="3" t="s">
        <v>74</v>
      </c>
      <c r="F341" s="3" t="s">
        <v>124</v>
      </c>
      <c r="G341" s="3" t="s">
        <v>29</v>
      </c>
      <c r="H341" s="3" t="s">
        <v>30</v>
      </c>
      <c r="I341" s="3" t="s">
        <v>31</v>
      </c>
      <c r="J341" s="3" t="s">
        <v>32</v>
      </c>
      <c r="K341" s="8">
        <v>43906.600694444445</v>
      </c>
      <c r="L341" s="12" t="s">
        <v>576</v>
      </c>
      <c r="M341" s="3">
        <v>0</v>
      </c>
      <c r="N341" s="3">
        <v>1</v>
      </c>
      <c r="O341" s="3" t="s">
        <v>33</v>
      </c>
      <c r="P341" s="10" t="s">
        <v>576</v>
      </c>
      <c r="Q341" s="3" t="s">
        <v>72</v>
      </c>
      <c r="R341" s="3">
        <v>6</v>
      </c>
      <c r="S341" s="3">
        <v>2</v>
      </c>
      <c r="T341" s="3" t="s">
        <v>54</v>
      </c>
      <c r="U341" s="3" t="s">
        <v>62</v>
      </c>
      <c r="V341" s="3" t="s">
        <v>48</v>
      </c>
      <c r="W341" s="11" cm="1">
        <f t="array" ref="W341">IF(H341="Request","No SLA for Request", IF(F341="Emergency",B341+(4/24), WORKDAY(B341, _xlfn.IFS(F341="High", 3, F341="Normal", 5, F341="Low", 10))))</f>
        <v>43853</v>
      </c>
      <c r="X341" t="str">
        <f t="shared" si="5"/>
        <v>Yes</v>
      </c>
    </row>
    <row r="342" spans="1:24" ht="12.75" x14ac:dyDescent="0.2">
      <c r="A342" s="3">
        <v>111356</v>
      </c>
      <c r="B342" s="8">
        <v>43805.617361111108</v>
      </c>
      <c r="C342" s="3" t="s">
        <v>428</v>
      </c>
      <c r="D342" s="3" t="s">
        <v>103</v>
      </c>
      <c r="E342" s="3" t="s">
        <v>104</v>
      </c>
      <c r="F342" s="3" t="s">
        <v>124</v>
      </c>
      <c r="G342" s="3" t="s">
        <v>29</v>
      </c>
      <c r="H342" s="3" t="s">
        <v>30</v>
      </c>
      <c r="I342" s="3" t="s">
        <v>31</v>
      </c>
      <c r="J342" s="3" t="s">
        <v>32</v>
      </c>
      <c r="K342" s="8">
        <v>43900.686805555553</v>
      </c>
      <c r="L342" s="12" t="s">
        <v>576</v>
      </c>
      <c r="M342" s="3">
        <v>0</v>
      </c>
      <c r="N342" s="3">
        <v>1</v>
      </c>
      <c r="O342" s="3" t="s">
        <v>33</v>
      </c>
      <c r="P342" s="10" t="s">
        <v>576</v>
      </c>
      <c r="Q342" s="3" t="s">
        <v>43</v>
      </c>
      <c r="R342" s="3">
        <v>24</v>
      </c>
      <c r="S342" s="3">
        <v>7</v>
      </c>
      <c r="T342" s="3" t="s">
        <v>54</v>
      </c>
      <c r="U342" s="3" t="s">
        <v>62</v>
      </c>
      <c r="V342" s="3" t="s">
        <v>37</v>
      </c>
      <c r="W342" s="11" cm="1">
        <f t="array" ref="W342">IF(H342="Request","No SLA for Request", IF(F342="Emergency",B342+(4/24), WORKDAY(B342, _xlfn.IFS(F342="High", 3, F342="Normal", 5, F342="Low", 10))))</f>
        <v>43812</v>
      </c>
      <c r="X342" t="str">
        <f t="shared" si="5"/>
        <v>Yes</v>
      </c>
    </row>
    <row r="343" spans="1:24" ht="12.75" x14ac:dyDescent="0.2">
      <c r="A343" s="3">
        <v>111386</v>
      </c>
      <c r="B343" s="8">
        <v>43873.591666666667</v>
      </c>
      <c r="C343" s="3" t="s">
        <v>429</v>
      </c>
      <c r="D343" s="3" t="s">
        <v>70</v>
      </c>
      <c r="E343" s="3" t="s">
        <v>71</v>
      </c>
      <c r="F343" s="3" t="s">
        <v>124</v>
      </c>
      <c r="G343" s="3" t="s">
        <v>29</v>
      </c>
      <c r="H343" s="3" t="s">
        <v>53</v>
      </c>
      <c r="I343" s="3" t="s">
        <v>31</v>
      </c>
      <c r="J343" s="3" t="s">
        <v>32</v>
      </c>
      <c r="K343" s="8">
        <v>43894.722222222219</v>
      </c>
      <c r="L343" s="12" t="s">
        <v>576</v>
      </c>
      <c r="M343" s="3">
        <v>0</v>
      </c>
      <c r="N343" s="3">
        <v>1</v>
      </c>
      <c r="O343" s="3" t="s">
        <v>33</v>
      </c>
      <c r="P343" s="10" t="s">
        <v>576</v>
      </c>
      <c r="Q343" s="3" t="s">
        <v>43</v>
      </c>
      <c r="R343" s="3">
        <v>15</v>
      </c>
      <c r="S343" s="3">
        <v>4</v>
      </c>
      <c r="T343" s="3" t="s">
        <v>35</v>
      </c>
      <c r="U343" s="3" t="s">
        <v>62</v>
      </c>
      <c r="V343" s="3" t="s">
        <v>37</v>
      </c>
      <c r="W343" s="11" t="str" cm="1">
        <f t="array" ref="W343">IF(H343="Request","No SLA for Request", IF(F343="Emergency",B343+(4/24), WORKDAY(B343, _xlfn.IFS(F343="High", 3, F343="Normal", 5, F343="Low", 10))))</f>
        <v>No SLA for Request</v>
      </c>
      <c r="X343" t="str">
        <f t="shared" si="5"/>
        <v>N/A</v>
      </c>
    </row>
    <row r="344" spans="1:24" ht="12.75" x14ac:dyDescent="0.2">
      <c r="A344" s="3">
        <v>111375</v>
      </c>
      <c r="B344" s="8">
        <v>43852.504166666666</v>
      </c>
      <c r="C344" s="3" t="s">
        <v>166</v>
      </c>
      <c r="D344" s="3" t="s">
        <v>49</v>
      </c>
      <c r="E344" s="3" t="s">
        <v>50</v>
      </c>
      <c r="F344" s="3" t="s">
        <v>124</v>
      </c>
      <c r="G344" s="3" t="s">
        <v>29</v>
      </c>
      <c r="H344" s="3" t="s">
        <v>30</v>
      </c>
      <c r="I344" s="3" t="s">
        <v>31</v>
      </c>
      <c r="J344" s="3" t="s">
        <v>32</v>
      </c>
      <c r="K344" s="8">
        <v>43885.74722222222</v>
      </c>
      <c r="L344" s="12" t="s">
        <v>576</v>
      </c>
      <c r="M344" s="3">
        <v>0</v>
      </c>
      <c r="N344" s="3">
        <v>1</v>
      </c>
      <c r="O344" s="3" t="s">
        <v>33</v>
      </c>
      <c r="P344" s="10" t="s">
        <v>576</v>
      </c>
      <c r="Q344" s="3" t="s">
        <v>34</v>
      </c>
      <c r="R344" s="3">
        <v>23</v>
      </c>
      <c r="S344" s="3">
        <v>5</v>
      </c>
      <c r="T344" s="3" t="s">
        <v>35</v>
      </c>
      <c r="U344" s="3" t="s">
        <v>62</v>
      </c>
      <c r="V344" s="3" t="s">
        <v>48</v>
      </c>
      <c r="W344" s="11" cm="1">
        <f t="array" ref="W344">IF(H344="Request","No SLA for Request", IF(F344="Emergency",B344+(4/24), WORKDAY(B344, _xlfn.IFS(F344="High", 3, F344="Normal", 5, F344="Low", 10))))</f>
        <v>43859</v>
      </c>
      <c r="X344" t="str">
        <f t="shared" si="5"/>
        <v>Yes</v>
      </c>
    </row>
    <row r="345" spans="1:24" ht="12.75" x14ac:dyDescent="0.2">
      <c r="A345" s="3">
        <v>111377</v>
      </c>
      <c r="B345" s="8">
        <v>43854.69027777778</v>
      </c>
      <c r="C345" s="3" t="s">
        <v>632</v>
      </c>
      <c r="D345" s="3" t="s">
        <v>103</v>
      </c>
      <c r="E345" s="3" t="s">
        <v>104</v>
      </c>
      <c r="F345" s="3" t="s">
        <v>124</v>
      </c>
      <c r="G345" s="3" t="s">
        <v>29</v>
      </c>
      <c r="H345" s="3" t="s">
        <v>53</v>
      </c>
      <c r="I345" s="3" t="s">
        <v>31</v>
      </c>
      <c r="J345" s="3" t="s">
        <v>32</v>
      </c>
      <c r="K345" s="8">
        <v>43882.728472222225</v>
      </c>
      <c r="L345" s="12" t="s">
        <v>576</v>
      </c>
      <c r="M345" s="3">
        <v>0</v>
      </c>
      <c r="N345" s="3">
        <v>1</v>
      </c>
      <c r="O345" s="3" t="s">
        <v>33</v>
      </c>
      <c r="P345" s="10" t="s">
        <v>576</v>
      </c>
      <c r="Q345" s="3" t="s">
        <v>43</v>
      </c>
      <c r="R345" s="3">
        <v>22</v>
      </c>
      <c r="S345" s="3">
        <v>3</v>
      </c>
      <c r="T345" s="3" t="s">
        <v>35</v>
      </c>
      <c r="U345" s="3" t="s">
        <v>36</v>
      </c>
      <c r="V345" s="3" t="s">
        <v>37</v>
      </c>
      <c r="W345" s="11" t="str" cm="1">
        <f t="array" ref="W345">IF(H345="Request","No SLA for Request", IF(F345="Emergency",B345+(4/24), WORKDAY(B345, _xlfn.IFS(F345="High", 3, F345="Normal", 5, F345="Low", 10))))</f>
        <v>No SLA for Request</v>
      </c>
      <c r="X345" t="str">
        <f t="shared" si="5"/>
        <v>N/A</v>
      </c>
    </row>
    <row r="346" spans="1:24" ht="12.75" x14ac:dyDescent="0.2">
      <c r="A346" s="3">
        <v>111389</v>
      </c>
      <c r="B346" s="8">
        <v>43874.513888888891</v>
      </c>
      <c r="C346" s="3" t="s">
        <v>633</v>
      </c>
      <c r="D346" s="3" t="s">
        <v>73</v>
      </c>
      <c r="E346" s="3" t="s">
        <v>74</v>
      </c>
      <c r="F346" s="3" t="s">
        <v>124</v>
      </c>
      <c r="G346" s="3" t="s">
        <v>29</v>
      </c>
      <c r="H346" s="3" t="s">
        <v>30</v>
      </c>
      <c r="I346" s="3" t="s">
        <v>31</v>
      </c>
      <c r="J346" s="3" t="s">
        <v>32</v>
      </c>
      <c r="K346" s="8">
        <v>43878.416666666664</v>
      </c>
      <c r="L346" s="12" t="s">
        <v>576</v>
      </c>
      <c r="M346" s="3">
        <v>0</v>
      </c>
      <c r="N346" s="3">
        <v>1</v>
      </c>
      <c r="O346" s="3" t="s">
        <v>33</v>
      </c>
      <c r="P346" s="10" t="s">
        <v>576</v>
      </c>
      <c r="Q346" s="3" t="s">
        <v>34</v>
      </c>
      <c r="R346" s="3">
        <v>7</v>
      </c>
      <c r="S346" s="3">
        <v>1</v>
      </c>
      <c r="T346" s="3" t="s">
        <v>54</v>
      </c>
      <c r="U346" s="3" t="s">
        <v>62</v>
      </c>
      <c r="V346" s="3" t="s">
        <v>37</v>
      </c>
      <c r="W346" s="11" cm="1">
        <f t="array" ref="W346">IF(H346="Request","No SLA for Request", IF(F346="Emergency",B346+(4/24), WORKDAY(B346, _xlfn.IFS(F346="High", 3, F346="Normal", 5, F346="Low", 10))))</f>
        <v>43881</v>
      </c>
      <c r="X346" t="str">
        <f t="shared" si="5"/>
        <v>No</v>
      </c>
    </row>
    <row r="347" spans="1:24" ht="12.75" x14ac:dyDescent="0.2">
      <c r="A347" s="3">
        <v>111374</v>
      </c>
      <c r="B347" s="8">
        <v>43850.728472222225</v>
      </c>
      <c r="C347" s="3" t="s">
        <v>430</v>
      </c>
      <c r="D347" s="3" t="s">
        <v>73</v>
      </c>
      <c r="E347" s="3" t="s">
        <v>74</v>
      </c>
      <c r="F347" s="3" t="s">
        <v>124</v>
      </c>
      <c r="G347" s="3" t="s">
        <v>29</v>
      </c>
      <c r="H347" s="3" t="s">
        <v>53</v>
      </c>
      <c r="I347" s="3" t="s">
        <v>31</v>
      </c>
      <c r="J347" s="3" t="s">
        <v>32</v>
      </c>
      <c r="K347" s="8">
        <v>43878.375694444447</v>
      </c>
      <c r="L347" s="12" t="s">
        <v>576</v>
      </c>
      <c r="M347" s="3">
        <v>0</v>
      </c>
      <c r="N347" s="3">
        <v>1</v>
      </c>
      <c r="O347" s="3" t="s">
        <v>33</v>
      </c>
      <c r="P347" s="10" t="s">
        <v>576</v>
      </c>
      <c r="Q347" s="3" t="s">
        <v>34</v>
      </c>
      <c r="R347" s="3">
        <v>4</v>
      </c>
      <c r="S347" s="3">
        <v>0</v>
      </c>
      <c r="T347" s="3" t="s">
        <v>54</v>
      </c>
      <c r="U347" s="3" t="s">
        <v>62</v>
      </c>
      <c r="V347" s="3" t="s">
        <v>48</v>
      </c>
      <c r="W347" s="11" t="str" cm="1">
        <f t="array" ref="W347">IF(H347="Request","No SLA for Request", IF(F347="Emergency",B347+(4/24), WORKDAY(B347, _xlfn.IFS(F347="High", 3, F347="Normal", 5, F347="Low", 10))))</f>
        <v>No SLA for Request</v>
      </c>
      <c r="X347" t="str">
        <f t="shared" si="5"/>
        <v>N/A</v>
      </c>
    </row>
    <row r="348" spans="1:24" ht="12.75" x14ac:dyDescent="0.2">
      <c r="A348" s="3">
        <v>111371</v>
      </c>
      <c r="B348" s="8">
        <v>43845.634722222225</v>
      </c>
      <c r="C348" s="3" t="s">
        <v>431</v>
      </c>
      <c r="D348" s="3" t="s">
        <v>73</v>
      </c>
      <c r="E348" s="3" t="s">
        <v>74</v>
      </c>
      <c r="F348" s="3" t="s">
        <v>124</v>
      </c>
      <c r="G348" s="3" t="s">
        <v>29</v>
      </c>
      <c r="H348" s="3" t="s">
        <v>53</v>
      </c>
      <c r="I348" s="3" t="s">
        <v>31</v>
      </c>
      <c r="J348" s="3" t="s">
        <v>32</v>
      </c>
      <c r="K348" s="8">
        <v>43878.372916666667</v>
      </c>
      <c r="L348" s="12" t="s">
        <v>576</v>
      </c>
      <c r="M348" s="3">
        <v>0</v>
      </c>
      <c r="N348" s="3">
        <v>1</v>
      </c>
      <c r="O348" s="3" t="s">
        <v>33</v>
      </c>
      <c r="P348" s="10" t="s">
        <v>576</v>
      </c>
      <c r="Q348" s="3" t="s">
        <v>34</v>
      </c>
      <c r="R348" s="3">
        <v>5</v>
      </c>
      <c r="S348" s="3">
        <v>0</v>
      </c>
      <c r="T348" s="3" t="s">
        <v>54</v>
      </c>
      <c r="U348" s="3" t="s">
        <v>62</v>
      </c>
      <c r="V348" s="3" t="s">
        <v>48</v>
      </c>
      <c r="W348" s="11" t="str" cm="1">
        <f t="array" ref="W348">IF(H348="Request","No SLA for Request", IF(F348="Emergency",B348+(4/24), WORKDAY(B348, _xlfn.IFS(F348="High", 3, F348="Normal", 5, F348="Low", 10))))</f>
        <v>No SLA for Request</v>
      </c>
      <c r="X348" t="str">
        <f t="shared" si="5"/>
        <v>N/A</v>
      </c>
    </row>
    <row r="349" spans="1:24" ht="12.75" x14ac:dyDescent="0.2">
      <c r="A349" s="3">
        <v>111381</v>
      </c>
      <c r="B349" s="8">
        <v>43865.585416666669</v>
      </c>
      <c r="C349" s="3" t="s">
        <v>432</v>
      </c>
      <c r="D349" s="3" t="s">
        <v>49</v>
      </c>
      <c r="E349" s="3" t="s">
        <v>50</v>
      </c>
      <c r="F349" s="3" t="s">
        <v>124</v>
      </c>
      <c r="G349" s="3" t="s">
        <v>29</v>
      </c>
      <c r="H349" s="3" t="s">
        <v>30</v>
      </c>
      <c r="I349" s="3" t="s">
        <v>31</v>
      </c>
      <c r="J349" s="3" t="s">
        <v>32</v>
      </c>
      <c r="K349" s="8">
        <v>43872.738194444442</v>
      </c>
      <c r="L349" s="12" t="s">
        <v>576</v>
      </c>
      <c r="M349" s="3">
        <v>0</v>
      </c>
      <c r="N349" s="3">
        <v>1</v>
      </c>
      <c r="O349" s="3" t="s">
        <v>33</v>
      </c>
      <c r="P349" s="10" t="s">
        <v>576</v>
      </c>
      <c r="Q349" s="3" t="s">
        <v>34</v>
      </c>
      <c r="R349" s="3">
        <v>6</v>
      </c>
      <c r="S349" s="3">
        <v>1</v>
      </c>
      <c r="T349" s="3" t="s">
        <v>54</v>
      </c>
      <c r="U349" s="3" t="s">
        <v>62</v>
      </c>
      <c r="V349" s="3" t="s">
        <v>48</v>
      </c>
      <c r="W349" s="11" cm="1">
        <f t="array" ref="W349">IF(H349="Request","No SLA for Request", IF(F349="Emergency",B349+(4/24), WORKDAY(B349, _xlfn.IFS(F349="High", 3, F349="Normal", 5, F349="Low", 10))))</f>
        <v>43872</v>
      </c>
      <c r="X349" t="str">
        <f t="shared" si="5"/>
        <v>Yes</v>
      </c>
    </row>
    <row r="350" spans="1:24" ht="12.75" x14ac:dyDescent="0.2">
      <c r="A350" s="3">
        <v>111368</v>
      </c>
      <c r="B350" s="8">
        <v>43838.57916666667</v>
      </c>
      <c r="C350" s="3" t="s">
        <v>634</v>
      </c>
      <c r="D350" s="3" t="s">
        <v>73</v>
      </c>
      <c r="E350" s="3" t="s">
        <v>74</v>
      </c>
      <c r="F350" s="3" t="s">
        <v>124</v>
      </c>
      <c r="G350" s="3" t="s">
        <v>29</v>
      </c>
      <c r="H350" s="3" t="s">
        <v>53</v>
      </c>
      <c r="I350" s="3" t="s">
        <v>31</v>
      </c>
      <c r="J350" s="3" t="s">
        <v>32</v>
      </c>
      <c r="K350" s="8">
        <v>43859.682638888888</v>
      </c>
      <c r="L350" s="12" t="s">
        <v>576</v>
      </c>
      <c r="M350" s="3">
        <v>0</v>
      </c>
      <c r="N350" s="3">
        <v>1</v>
      </c>
      <c r="O350" s="3" t="s">
        <v>33</v>
      </c>
      <c r="P350" s="10" t="s">
        <v>576</v>
      </c>
      <c r="Q350" s="3" t="s">
        <v>34</v>
      </c>
      <c r="R350" s="3">
        <v>5</v>
      </c>
      <c r="S350" s="3">
        <v>0</v>
      </c>
      <c r="T350" s="3" t="s">
        <v>54</v>
      </c>
      <c r="U350" s="3" t="s">
        <v>62</v>
      </c>
      <c r="V350" s="3" t="s">
        <v>48</v>
      </c>
      <c r="W350" s="11" t="str" cm="1">
        <f t="array" ref="W350">IF(H350="Request","No SLA for Request", IF(F350="Emergency",B350+(4/24), WORKDAY(B350, _xlfn.IFS(F350="High", 3, F350="Normal", 5, F350="Low", 10))))</f>
        <v>No SLA for Request</v>
      </c>
      <c r="X350" t="str">
        <f t="shared" si="5"/>
        <v>N/A</v>
      </c>
    </row>
    <row r="351" spans="1:24" ht="12.75" x14ac:dyDescent="0.2">
      <c r="A351" s="3">
        <v>111376</v>
      </c>
      <c r="B351" s="8">
        <v>43854.398611111108</v>
      </c>
      <c r="C351" s="3" t="s">
        <v>433</v>
      </c>
      <c r="D351" s="3" t="s">
        <v>49</v>
      </c>
      <c r="E351" s="3" t="s">
        <v>50</v>
      </c>
      <c r="F351" s="3" t="s">
        <v>124</v>
      </c>
      <c r="G351" s="3" t="s">
        <v>29</v>
      </c>
      <c r="H351" s="3" t="s">
        <v>53</v>
      </c>
      <c r="I351" s="3" t="s">
        <v>31</v>
      </c>
      <c r="J351" s="3" t="s">
        <v>32</v>
      </c>
      <c r="K351" s="8">
        <v>43858.744444444441</v>
      </c>
      <c r="L351" s="12" t="s">
        <v>576</v>
      </c>
      <c r="M351" s="3">
        <v>0</v>
      </c>
      <c r="N351" s="3">
        <v>1</v>
      </c>
      <c r="O351" s="3" t="s">
        <v>33</v>
      </c>
      <c r="P351" s="10" t="s">
        <v>576</v>
      </c>
      <c r="Q351" s="3" t="s">
        <v>34</v>
      </c>
      <c r="R351" s="3">
        <v>5</v>
      </c>
      <c r="S351" s="3">
        <v>0</v>
      </c>
      <c r="T351" s="3" t="s">
        <v>35</v>
      </c>
      <c r="U351" s="3" t="s">
        <v>62</v>
      </c>
      <c r="V351" s="3" t="s">
        <v>51</v>
      </c>
      <c r="W351" s="11" t="str" cm="1">
        <f t="array" ref="W351">IF(H351="Request","No SLA for Request", IF(F351="Emergency",B351+(4/24), WORKDAY(B351, _xlfn.IFS(F351="High", 3, F351="Normal", 5, F351="Low", 10))))</f>
        <v>No SLA for Request</v>
      </c>
      <c r="X351" t="str">
        <f t="shared" si="5"/>
        <v>N/A</v>
      </c>
    </row>
    <row r="352" spans="1:24" ht="12.75" x14ac:dyDescent="0.2">
      <c r="A352" s="3">
        <v>111365</v>
      </c>
      <c r="B352" s="8">
        <v>43833.565972222219</v>
      </c>
      <c r="C352" s="3" t="s">
        <v>434</v>
      </c>
      <c r="D352" s="3" t="s">
        <v>44</v>
      </c>
      <c r="E352" s="3" t="s">
        <v>45</v>
      </c>
      <c r="F352" s="3" t="s">
        <v>124</v>
      </c>
      <c r="G352" s="3" t="s">
        <v>577</v>
      </c>
      <c r="H352" s="3" t="s">
        <v>53</v>
      </c>
      <c r="I352" s="3" t="s">
        <v>31</v>
      </c>
      <c r="J352" s="3" t="s">
        <v>32</v>
      </c>
      <c r="K352" s="8">
        <v>43857.739583333336</v>
      </c>
      <c r="L352" s="8">
        <v>43834.065972222219</v>
      </c>
      <c r="M352" s="3">
        <v>0</v>
      </c>
      <c r="N352" s="3">
        <v>1</v>
      </c>
      <c r="O352" s="3" t="s">
        <v>58</v>
      </c>
      <c r="P352" s="10" t="s">
        <v>576</v>
      </c>
      <c r="Q352" s="3" t="s">
        <v>46</v>
      </c>
      <c r="R352" s="3">
        <v>8</v>
      </c>
      <c r="S352" s="3">
        <v>0</v>
      </c>
      <c r="T352" s="10" t="s">
        <v>576</v>
      </c>
      <c r="U352" s="10" t="s">
        <v>576</v>
      </c>
      <c r="V352" s="3" t="s">
        <v>37</v>
      </c>
      <c r="W352" s="11" t="str" cm="1">
        <f t="array" ref="W352">IF(H352="Request","No SLA for Request", IF(F352="Emergency",B352+(4/24), WORKDAY(B352, _xlfn.IFS(F352="High", 3, F352="Normal", 5, F352="Low", 10))))</f>
        <v>No SLA for Request</v>
      </c>
      <c r="X352" t="str">
        <f t="shared" si="5"/>
        <v>N/A</v>
      </c>
    </row>
    <row r="353" spans="1:24" ht="12.75" x14ac:dyDescent="0.2">
      <c r="A353" s="3">
        <v>111215</v>
      </c>
      <c r="B353" s="8">
        <v>43614.380555555559</v>
      </c>
      <c r="C353" s="3" t="s">
        <v>435</v>
      </c>
      <c r="D353" s="3" t="s">
        <v>78</v>
      </c>
      <c r="E353" s="3" t="s">
        <v>79</v>
      </c>
      <c r="F353" s="3" t="s">
        <v>124</v>
      </c>
      <c r="G353" s="3" t="s">
        <v>29</v>
      </c>
      <c r="H353" s="3" t="s">
        <v>30</v>
      </c>
      <c r="I353" s="3" t="s">
        <v>31</v>
      </c>
      <c r="J353" s="3" t="s">
        <v>32</v>
      </c>
      <c r="K353" s="8">
        <v>43846.719444444447</v>
      </c>
      <c r="L353" s="12" t="s">
        <v>576</v>
      </c>
      <c r="M353" s="3">
        <v>0</v>
      </c>
      <c r="N353" s="3">
        <v>1</v>
      </c>
      <c r="O353" s="3" t="s">
        <v>33</v>
      </c>
      <c r="P353" s="10" t="s">
        <v>576</v>
      </c>
      <c r="Q353" s="3" t="s">
        <v>43</v>
      </c>
      <c r="R353" s="3">
        <v>15</v>
      </c>
      <c r="S353" s="3">
        <v>8</v>
      </c>
      <c r="T353" s="3" t="s">
        <v>35</v>
      </c>
      <c r="U353" s="3" t="s">
        <v>62</v>
      </c>
      <c r="V353" s="3" t="s">
        <v>37</v>
      </c>
      <c r="W353" s="11" cm="1">
        <f t="array" ref="W353">IF(H353="Request","No SLA for Request", IF(F353="Emergency",B353+(4/24), WORKDAY(B353, _xlfn.IFS(F353="High", 3, F353="Normal", 5, F353="Low", 10))))</f>
        <v>43621</v>
      </c>
      <c r="X353" t="str">
        <f t="shared" si="5"/>
        <v>Yes</v>
      </c>
    </row>
    <row r="354" spans="1:24" ht="12.75" x14ac:dyDescent="0.2">
      <c r="A354" s="3">
        <v>111362</v>
      </c>
      <c r="B354" s="8">
        <v>43825.42291666667</v>
      </c>
      <c r="C354" s="3" t="s">
        <v>436</v>
      </c>
      <c r="D354" s="3" t="s">
        <v>63</v>
      </c>
      <c r="E354" s="3" t="s">
        <v>64</v>
      </c>
      <c r="F354" s="3" t="s">
        <v>124</v>
      </c>
      <c r="G354" s="3" t="s">
        <v>29</v>
      </c>
      <c r="H354" s="3" t="s">
        <v>53</v>
      </c>
      <c r="I354" s="3" t="s">
        <v>31</v>
      </c>
      <c r="J354" s="3" t="s">
        <v>32</v>
      </c>
      <c r="K354" s="8">
        <v>43846.614583333336</v>
      </c>
      <c r="L354" s="12" t="s">
        <v>576</v>
      </c>
      <c r="M354" s="3">
        <v>0</v>
      </c>
      <c r="N354" s="3">
        <v>1</v>
      </c>
      <c r="O354" s="3" t="s">
        <v>33</v>
      </c>
      <c r="P354" s="10" t="s">
        <v>576</v>
      </c>
      <c r="Q354" s="3" t="s">
        <v>72</v>
      </c>
      <c r="R354" s="3">
        <v>6</v>
      </c>
      <c r="S354" s="3">
        <v>0</v>
      </c>
      <c r="T354" s="3" t="s">
        <v>54</v>
      </c>
      <c r="U354" s="3" t="s">
        <v>62</v>
      </c>
      <c r="V354" s="3" t="s">
        <v>48</v>
      </c>
      <c r="W354" s="11" t="str" cm="1">
        <f t="array" ref="W354">IF(H354="Request","No SLA for Request", IF(F354="Emergency",B354+(4/24), WORKDAY(B354, _xlfn.IFS(F354="High", 3, F354="Normal", 5, F354="Low", 10))))</f>
        <v>No SLA for Request</v>
      </c>
      <c r="X354" t="str">
        <f t="shared" si="5"/>
        <v>N/A</v>
      </c>
    </row>
    <row r="355" spans="1:24" ht="12.75" x14ac:dyDescent="0.2">
      <c r="A355" s="3">
        <v>111359</v>
      </c>
      <c r="B355" s="8">
        <v>43817.572916666664</v>
      </c>
      <c r="C355" s="3" t="s">
        <v>437</v>
      </c>
      <c r="D355" s="3" t="s">
        <v>78</v>
      </c>
      <c r="E355" s="3" t="s">
        <v>79</v>
      </c>
      <c r="F355" s="3" t="s">
        <v>124</v>
      </c>
      <c r="G355" s="3" t="s">
        <v>29</v>
      </c>
      <c r="H355" s="3" t="s">
        <v>30</v>
      </c>
      <c r="I355" s="3" t="s">
        <v>31</v>
      </c>
      <c r="J355" s="3" t="s">
        <v>32</v>
      </c>
      <c r="K355" s="8">
        <v>43845.719444444447</v>
      </c>
      <c r="L355" s="12" t="s">
        <v>576</v>
      </c>
      <c r="M355" s="3">
        <v>0</v>
      </c>
      <c r="N355" s="3">
        <v>1</v>
      </c>
      <c r="O355" s="3" t="s">
        <v>33</v>
      </c>
      <c r="P355" s="10" t="s">
        <v>576</v>
      </c>
      <c r="Q355" s="3" t="s">
        <v>43</v>
      </c>
      <c r="R355" s="3">
        <v>14</v>
      </c>
      <c r="S355" s="3">
        <v>1</v>
      </c>
      <c r="T355" s="3" t="s">
        <v>35</v>
      </c>
      <c r="U355" s="3" t="s">
        <v>62</v>
      </c>
      <c r="V355" s="3" t="s">
        <v>37</v>
      </c>
      <c r="W355" s="11" cm="1">
        <f t="array" ref="W355">IF(H355="Request","No SLA for Request", IF(F355="Emergency",B355+(4/24), WORKDAY(B355, _xlfn.IFS(F355="High", 3, F355="Normal", 5, F355="Low", 10))))</f>
        <v>43824</v>
      </c>
      <c r="X355" t="str">
        <f t="shared" si="5"/>
        <v>Yes</v>
      </c>
    </row>
    <row r="356" spans="1:24" ht="12.75" x14ac:dyDescent="0.2">
      <c r="A356" s="3">
        <v>111370</v>
      </c>
      <c r="B356" s="8">
        <v>43841.655555555553</v>
      </c>
      <c r="C356" s="3" t="s">
        <v>438</v>
      </c>
      <c r="D356" s="3" t="s">
        <v>73</v>
      </c>
      <c r="E356" s="3" t="s">
        <v>74</v>
      </c>
      <c r="F356" s="3" t="s">
        <v>124</v>
      </c>
      <c r="G356" s="3" t="s">
        <v>29</v>
      </c>
      <c r="H356" s="3" t="s">
        <v>53</v>
      </c>
      <c r="I356" s="3" t="s">
        <v>31</v>
      </c>
      <c r="J356" s="3" t="s">
        <v>32</v>
      </c>
      <c r="K356" s="8">
        <v>43844.73333333333</v>
      </c>
      <c r="L356" s="12" t="s">
        <v>576</v>
      </c>
      <c r="M356" s="3">
        <v>0</v>
      </c>
      <c r="N356" s="3">
        <v>1</v>
      </c>
      <c r="O356" s="3" t="s">
        <v>33</v>
      </c>
      <c r="P356" s="10" t="s">
        <v>576</v>
      </c>
      <c r="Q356" s="3" t="s">
        <v>34</v>
      </c>
      <c r="R356" s="3">
        <v>7</v>
      </c>
      <c r="S356" s="3">
        <v>1</v>
      </c>
      <c r="T356" s="3" t="s">
        <v>54</v>
      </c>
      <c r="U356" s="3" t="s">
        <v>62</v>
      </c>
      <c r="V356" s="3" t="s">
        <v>51</v>
      </c>
      <c r="W356" s="11" t="str" cm="1">
        <f t="array" ref="W356">IF(H356="Request","No SLA for Request", IF(F356="Emergency",B356+(4/24), WORKDAY(B356, _xlfn.IFS(F356="High", 3, F356="Normal", 5, F356="Low", 10))))</f>
        <v>No SLA for Request</v>
      </c>
      <c r="X356" t="str">
        <f t="shared" si="5"/>
        <v>N/A</v>
      </c>
    </row>
    <row r="357" spans="1:24" ht="12.75" x14ac:dyDescent="0.2">
      <c r="A357" s="3">
        <v>111336</v>
      </c>
      <c r="B357" s="8">
        <v>43763.731944444444</v>
      </c>
      <c r="C357" s="3" t="s">
        <v>635</v>
      </c>
      <c r="D357" s="3" t="s">
        <v>96</v>
      </c>
      <c r="E357" s="3" t="s">
        <v>97</v>
      </c>
      <c r="F357" s="3" t="s">
        <v>124</v>
      </c>
      <c r="G357" s="3" t="s">
        <v>29</v>
      </c>
      <c r="H357" s="3" t="s">
        <v>30</v>
      </c>
      <c r="I357" s="3" t="s">
        <v>31</v>
      </c>
      <c r="J357" s="3" t="s">
        <v>32</v>
      </c>
      <c r="K357" s="8">
        <v>43844.730555555558</v>
      </c>
      <c r="L357" s="12" t="s">
        <v>576</v>
      </c>
      <c r="M357" s="3">
        <v>0</v>
      </c>
      <c r="N357" s="3">
        <v>1</v>
      </c>
      <c r="O357" s="3" t="s">
        <v>33</v>
      </c>
      <c r="P357" s="10" t="s">
        <v>576</v>
      </c>
      <c r="Q357" s="3" t="s">
        <v>43</v>
      </c>
      <c r="R357" s="3">
        <v>11</v>
      </c>
      <c r="S357" s="3">
        <v>6</v>
      </c>
      <c r="T357" s="3" t="s">
        <v>54</v>
      </c>
      <c r="U357" s="3" t="s">
        <v>62</v>
      </c>
      <c r="V357" s="3" t="s">
        <v>37</v>
      </c>
      <c r="W357" s="11" cm="1">
        <f t="array" ref="W357">IF(H357="Request","No SLA for Request", IF(F357="Emergency",B357+(4/24), WORKDAY(B357, _xlfn.IFS(F357="High", 3, F357="Normal", 5, F357="Low", 10))))</f>
        <v>43770</v>
      </c>
      <c r="X357" t="str">
        <f t="shared" si="5"/>
        <v>Yes</v>
      </c>
    </row>
    <row r="358" spans="1:24" ht="12.75" x14ac:dyDescent="0.2">
      <c r="A358" s="3">
        <v>111209</v>
      </c>
      <c r="B358" s="8">
        <v>43608.574999999997</v>
      </c>
      <c r="C358" s="3" t="s">
        <v>439</v>
      </c>
      <c r="D358" s="3" t="s">
        <v>78</v>
      </c>
      <c r="E358" s="3" t="s">
        <v>79</v>
      </c>
      <c r="F358" s="3" t="s">
        <v>124</v>
      </c>
      <c r="G358" s="3" t="s">
        <v>29</v>
      </c>
      <c r="H358" s="3" t="s">
        <v>30</v>
      </c>
      <c r="I358" s="3" t="s">
        <v>31</v>
      </c>
      <c r="J358" s="3" t="s">
        <v>32</v>
      </c>
      <c r="K358" s="8">
        <v>43844.729166666664</v>
      </c>
      <c r="L358" s="12" t="s">
        <v>576</v>
      </c>
      <c r="M358" s="3">
        <v>0</v>
      </c>
      <c r="N358" s="3">
        <v>1</v>
      </c>
      <c r="O358" s="3" t="s">
        <v>33</v>
      </c>
      <c r="P358" s="10" t="s">
        <v>576</v>
      </c>
      <c r="Q358" s="3" t="s">
        <v>43</v>
      </c>
      <c r="R358" s="3">
        <v>17</v>
      </c>
      <c r="S358" s="3">
        <v>3</v>
      </c>
      <c r="T358" s="3" t="s">
        <v>35</v>
      </c>
      <c r="U358" s="3" t="s">
        <v>62</v>
      </c>
      <c r="V358" s="3" t="s">
        <v>37</v>
      </c>
      <c r="W358" s="11" cm="1">
        <f t="array" ref="W358">IF(H358="Request","No SLA for Request", IF(F358="Emergency",B358+(4/24), WORKDAY(B358, _xlfn.IFS(F358="High", 3, F358="Normal", 5, F358="Low", 10))))</f>
        <v>43615</v>
      </c>
      <c r="X358" t="str">
        <f t="shared" si="5"/>
        <v>Yes</v>
      </c>
    </row>
    <row r="359" spans="1:24" ht="12.75" x14ac:dyDescent="0.2">
      <c r="A359" s="3">
        <v>111355</v>
      </c>
      <c r="B359" s="8">
        <v>43805.417361111111</v>
      </c>
      <c r="C359" s="3" t="s">
        <v>167</v>
      </c>
      <c r="D359" s="3" t="s">
        <v>26</v>
      </c>
      <c r="E359" s="3" t="s">
        <v>27</v>
      </c>
      <c r="F359" s="3" t="s">
        <v>124</v>
      </c>
      <c r="G359" s="3" t="s">
        <v>29</v>
      </c>
      <c r="H359" s="3" t="s">
        <v>30</v>
      </c>
      <c r="I359" s="3" t="s">
        <v>31</v>
      </c>
      <c r="J359" s="3" t="s">
        <v>32</v>
      </c>
      <c r="K359" s="8">
        <v>43840.754166666666</v>
      </c>
      <c r="L359" s="12" t="s">
        <v>576</v>
      </c>
      <c r="M359" s="3">
        <v>0</v>
      </c>
      <c r="N359" s="3">
        <v>1</v>
      </c>
      <c r="O359" s="3" t="s">
        <v>33</v>
      </c>
      <c r="P359" s="10" t="s">
        <v>576</v>
      </c>
      <c r="Q359" s="3" t="s">
        <v>34</v>
      </c>
      <c r="R359" s="3">
        <v>16</v>
      </c>
      <c r="S359" s="3">
        <v>1</v>
      </c>
      <c r="T359" s="3" t="s">
        <v>35</v>
      </c>
      <c r="U359" s="3" t="s">
        <v>62</v>
      </c>
      <c r="V359" s="3" t="s">
        <v>37</v>
      </c>
      <c r="W359" s="11" cm="1">
        <f t="array" ref="W359">IF(H359="Request","No SLA for Request", IF(F359="Emergency",B359+(4/24), WORKDAY(B359, _xlfn.IFS(F359="High", 3, F359="Normal", 5, F359="Low", 10))))</f>
        <v>43812</v>
      </c>
      <c r="X359" t="str">
        <f t="shared" si="5"/>
        <v>Yes</v>
      </c>
    </row>
    <row r="360" spans="1:24" ht="12.75" x14ac:dyDescent="0.2">
      <c r="A360" s="3">
        <v>111367</v>
      </c>
      <c r="B360" s="8">
        <v>43837.402777777781</v>
      </c>
      <c r="C360" s="3" t="s">
        <v>440</v>
      </c>
      <c r="D360" s="3" t="s">
        <v>73</v>
      </c>
      <c r="E360" s="3" t="s">
        <v>74</v>
      </c>
      <c r="F360" s="3" t="s">
        <v>124</v>
      </c>
      <c r="G360" s="3" t="s">
        <v>29</v>
      </c>
      <c r="H360" s="3" t="s">
        <v>53</v>
      </c>
      <c r="I360" s="3" t="s">
        <v>31</v>
      </c>
      <c r="J360" s="3" t="s">
        <v>32</v>
      </c>
      <c r="K360" s="8">
        <v>43838.701388888891</v>
      </c>
      <c r="L360" s="12" t="s">
        <v>576</v>
      </c>
      <c r="M360" s="3">
        <v>0</v>
      </c>
      <c r="N360" s="3">
        <v>1</v>
      </c>
      <c r="O360" s="3" t="s">
        <v>33</v>
      </c>
      <c r="P360" s="10" t="s">
        <v>576</v>
      </c>
      <c r="Q360" s="3" t="s">
        <v>34</v>
      </c>
      <c r="R360" s="3">
        <v>8</v>
      </c>
      <c r="S360" s="3">
        <v>0</v>
      </c>
      <c r="T360" s="3" t="s">
        <v>54</v>
      </c>
      <c r="U360" s="3" t="s">
        <v>62</v>
      </c>
      <c r="V360" s="3" t="s">
        <v>48</v>
      </c>
      <c r="W360" s="11" t="str" cm="1">
        <f t="array" ref="W360">IF(H360="Request","No SLA for Request", IF(F360="Emergency",B360+(4/24), WORKDAY(B360, _xlfn.IFS(F360="High", 3, F360="Normal", 5, F360="Low", 10))))</f>
        <v>No SLA for Request</v>
      </c>
      <c r="X360" t="str">
        <f t="shared" si="5"/>
        <v>N/A</v>
      </c>
    </row>
    <row r="361" spans="1:24" ht="12.75" x14ac:dyDescent="0.2">
      <c r="A361" s="3">
        <v>111363</v>
      </c>
      <c r="B361" s="8">
        <v>43832.718055555553</v>
      </c>
      <c r="C361" s="3" t="s">
        <v>168</v>
      </c>
      <c r="D361" s="3" t="s">
        <v>73</v>
      </c>
      <c r="E361" s="3" t="s">
        <v>74</v>
      </c>
      <c r="F361" s="3" t="s">
        <v>124</v>
      </c>
      <c r="G361" s="3" t="s">
        <v>29</v>
      </c>
      <c r="H361" s="3" t="s">
        <v>53</v>
      </c>
      <c r="I361" s="3" t="s">
        <v>31</v>
      </c>
      <c r="J361" s="3" t="s">
        <v>32</v>
      </c>
      <c r="K361" s="8">
        <v>43837.461111111108</v>
      </c>
      <c r="L361" s="12" t="s">
        <v>576</v>
      </c>
      <c r="M361" s="3">
        <v>0</v>
      </c>
      <c r="N361" s="3">
        <v>1</v>
      </c>
      <c r="O361" s="3" t="s">
        <v>33</v>
      </c>
      <c r="P361" s="10" t="s">
        <v>576</v>
      </c>
      <c r="Q361" s="3" t="s">
        <v>34</v>
      </c>
      <c r="R361" s="3">
        <v>7</v>
      </c>
      <c r="S361" s="3">
        <v>0</v>
      </c>
      <c r="T361" s="3" t="s">
        <v>54</v>
      </c>
      <c r="U361" s="3" t="s">
        <v>62</v>
      </c>
      <c r="V361" s="3" t="s">
        <v>48</v>
      </c>
      <c r="W361" s="11" t="str" cm="1">
        <f t="array" ref="W361">IF(H361="Request","No SLA for Request", IF(F361="Emergency",B361+(4/24), WORKDAY(B361, _xlfn.IFS(F361="High", 3, F361="Normal", 5, F361="Low", 10))))</f>
        <v>No SLA for Request</v>
      </c>
      <c r="X361" t="str">
        <f t="shared" si="5"/>
        <v>N/A</v>
      </c>
    </row>
    <row r="362" spans="1:24" ht="12.75" x14ac:dyDescent="0.2">
      <c r="A362" s="3">
        <v>111337</v>
      </c>
      <c r="B362" s="8">
        <v>43768.609722222223</v>
      </c>
      <c r="C362" s="3" t="s">
        <v>441</v>
      </c>
      <c r="D362" s="3" t="s">
        <v>49</v>
      </c>
      <c r="E362" s="3" t="s">
        <v>50</v>
      </c>
      <c r="F362" s="3" t="s">
        <v>124</v>
      </c>
      <c r="G362" s="3" t="s">
        <v>29</v>
      </c>
      <c r="H362" s="3" t="s">
        <v>53</v>
      </c>
      <c r="I362" s="3" t="s">
        <v>31</v>
      </c>
      <c r="J362" s="3" t="s">
        <v>32</v>
      </c>
      <c r="K362" s="8">
        <v>43833.73333333333</v>
      </c>
      <c r="L362" s="12" t="s">
        <v>576</v>
      </c>
      <c r="M362" s="3">
        <v>0</v>
      </c>
      <c r="N362" s="3">
        <v>1</v>
      </c>
      <c r="O362" s="3" t="s">
        <v>33</v>
      </c>
      <c r="P362" s="10" t="s">
        <v>576</v>
      </c>
      <c r="Q362" s="3" t="s">
        <v>34</v>
      </c>
      <c r="R362" s="3">
        <v>20</v>
      </c>
      <c r="S362" s="3">
        <v>0</v>
      </c>
      <c r="T362" s="10" t="s">
        <v>576</v>
      </c>
      <c r="U362" s="10" t="s">
        <v>576</v>
      </c>
      <c r="V362" s="3" t="s">
        <v>37</v>
      </c>
      <c r="W362" s="11" t="str" cm="1">
        <f t="array" ref="W362">IF(H362="Request","No SLA for Request", IF(F362="Emergency",B362+(4/24), WORKDAY(B362, _xlfn.IFS(F362="High", 3, F362="Normal", 5, F362="Low", 10))))</f>
        <v>No SLA for Request</v>
      </c>
      <c r="X362" t="str">
        <f t="shared" si="5"/>
        <v>N/A</v>
      </c>
    </row>
    <row r="363" spans="1:24" ht="12.75" x14ac:dyDescent="0.2">
      <c r="A363" s="3">
        <v>111324</v>
      </c>
      <c r="B363" s="8">
        <v>43752.691666666666</v>
      </c>
      <c r="C363" s="3" t="s">
        <v>442</v>
      </c>
      <c r="D363" s="3" t="s">
        <v>78</v>
      </c>
      <c r="E363" s="3" t="s">
        <v>79</v>
      </c>
      <c r="F363" s="3" t="s">
        <v>124</v>
      </c>
      <c r="G363" s="3" t="s">
        <v>29</v>
      </c>
      <c r="H363" s="3" t="s">
        <v>30</v>
      </c>
      <c r="I363" s="3" t="s">
        <v>31</v>
      </c>
      <c r="J363" s="3" t="s">
        <v>32</v>
      </c>
      <c r="K363" s="8">
        <v>43822.65</v>
      </c>
      <c r="L363" s="8">
        <v>43753.191666666666</v>
      </c>
      <c r="M363" s="3">
        <v>0</v>
      </c>
      <c r="N363" s="3">
        <v>1</v>
      </c>
      <c r="O363" s="3" t="s">
        <v>33</v>
      </c>
      <c r="P363" s="10" t="s">
        <v>576</v>
      </c>
      <c r="Q363" s="3" t="s">
        <v>43</v>
      </c>
      <c r="R363" s="3">
        <v>9</v>
      </c>
      <c r="S363" s="3">
        <v>3</v>
      </c>
      <c r="T363" s="10" t="s">
        <v>576</v>
      </c>
      <c r="U363" s="10" t="s">
        <v>576</v>
      </c>
      <c r="V363" s="3" t="s">
        <v>37</v>
      </c>
      <c r="W363" s="11" cm="1">
        <f t="array" ref="W363">IF(H363="Request","No SLA for Request", IF(F363="Emergency",B363+(4/24), WORKDAY(B363, _xlfn.IFS(F363="High", 3, F363="Normal", 5, F363="Low", 10))))</f>
        <v>43759</v>
      </c>
      <c r="X363" t="str">
        <f t="shared" si="5"/>
        <v>Yes</v>
      </c>
    </row>
    <row r="364" spans="1:24" ht="12.75" x14ac:dyDescent="0.2">
      <c r="A364" s="3">
        <v>111335</v>
      </c>
      <c r="B364" s="8">
        <v>43763.727777777778</v>
      </c>
      <c r="C364" s="3" t="s">
        <v>443</v>
      </c>
      <c r="D364" s="3" t="s">
        <v>70</v>
      </c>
      <c r="E364" s="3" t="s">
        <v>71</v>
      </c>
      <c r="F364" s="3" t="s">
        <v>124</v>
      </c>
      <c r="G364" s="3" t="s">
        <v>29</v>
      </c>
      <c r="H364" s="3" t="s">
        <v>53</v>
      </c>
      <c r="I364" s="3" t="s">
        <v>31</v>
      </c>
      <c r="J364" s="3" t="s">
        <v>32</v>
      </c>
      <c r="K364" s="8">
        <v>43822.631944444445</v>
      </c>
      <c r="L364" s="8">
        <v>43817.708333333336</v>
      </c>
      <c r="M364" s="3">
        <v>0</v>
      </c>
      <c r="N364" s="3">
        <v>1</v>
      </c>
      <c r="O364" s="3" t="s">
        <v>33</v>
      </c>
      <c r="P364" s="10" t="s">
        <v>576</v>
      </c>
      <c r="Q364" s="3" t="s">
        <v>43</v>
      </c>
      <c r="R364" s="3">
        <v>17</v>
      </c>
      <c r="S364" s="3">
        <v>8</v>
      </c>
      <c r="T364" s="10" t="s">
        <v>576</v>
      </c>
      <c r="U364" s="10" t="s">
        <v>576</v>
      </c>
      <c r="V364" s="3" t="s">
        <v>37</v>
      </c>
      <c r="W364" s="11" t="str" cm="1">
        <f t="array" ref="W364">IF(H364="Request","No SLA for Request", IF(F364="Emergency",B364+(4/24), WORKDAY(B364, _xlfn.IFS(F364="High", 3, F364="Normal", 5, F364="Low", 10))))</f>
        <v>No SLA for Request</v>
      </c>
      <c r="X364" t="str">
        <f t="shared" si="5"/>
        <v>N/A</v>
      </c>
    </row>
    <row r="365" spans="1:24" ht="12.75" x14ac:dyDescent="0.2">
      <c r="A365" s="3">
        <v>111326</v>
      </c>
      <c r="B365" s="8">
        <v>43752.700694444444</v>
      </c>
      <c r="C365" s="3" t="s">
        <v>444</v>
      </c>
      <c r="D365" s="3" t="s">
        <v>26</v>
      </c>
      <c r="E365" s="3" t="s">
        <v>27</v>
      </c>
      <c r="F365" s="3" t="s">
        <v>124</v>
      </c>
      <c r="G365" s="3" t="s">
        <v>29</v>
      </c>
      <c r="H365" s="3" t="s">
        <v>30</v>
      </c>
      <c r="I365" s="3" t="s">
        <v>31</v>
      </c>
      <c r="J365" s="3" t="s">
        <v>32</v>
      </c>
      <c r="K365" s="8">
        <v>43822.60833333333</v>
      </c>
      <c r="L365" s="8">
        <v>43753.200694444444</v>
      </c>
      <c r="M365" s="3">
        <v>0</v>
      </c>
      <c r="N365" s="3">
        <v>1</v>
      </c>
      <c r="O365" s="3" t="s">
        <v>33</v>
      </c>
      <c r="P365" s="10" t="s">
        <v>576</v>
      </c>
      <c r="Q365" s="3" t="s">
        <v>34</v>
      </c>
      <c r="R365" s="3">
        <v>26</v>
      </c>
      <c r="S365" s="3">
        <v>7</v>
      </c>
      <c r="T365" s="10" t="s">
        <v>576</v>
      </c>
      <c r="U365" s="10" t="s">
        <v>576</v>
      </c>
      <c r="V365" s="3" t="s">
        <v>37</v>
      </c>
      <c r="W365" s="11" cm="1">
        <f t="array" ref="W365">IF(H365="Request","No SLA for Request", IF(F365="Emergency",B365+(4/24), WORKDAY(B365, _xlfn.IFS(F365="High", 3, F365="Normal", 5, F365="Low", 10))))</f>
        <v>43759</v>
      </c>
      <c r="X365" t="str">
        <f t="shared" si="5"/>
        <v>Yes</v>
      </c>
    </row>
    <row r="366" spans="1:24" ht="12.75" x14ac:dyDescent="0.2">
      <c r="A366" s="3">
        <v>111352</v>
      </c>
      <c r="B366" s="8">
        <v>43798.450694444444</v>
      </c>
      <c r="C366" s="3" t="s">
        <v>445</v>
      </c>
      <c r="D366" s="3" t="s">
        <v>26</v>
      </c>
      <c r="E366" s="3" t="s">
        <v>27</v>
      </c>
      <c r="F366" s="3" t="s">
        <v>124</v>
      </c>
      <c r="G366" s="3" t="s">
        <v>29</v>
      </c>
      <c r="H366" s="3" t="s">
        <v>53</v>
      </c>
      <c r="I366" s="3" t="s">
        <v>31</v>
      </c>
      <c r="J366" s="3" t="s">
        <v>32</v>
      </c>
      <c r="K366" s="8">
        <v>43818.754166666666</v>
      </c>
      <c r="L366" s="8">
        <v>43798.950694444444</v>
      </c>
      <c r="M366" s="3">
        <v>0</v>
      </c>
      <c r="N366" s="3">
        <v>1</v>
      </c>
      <c r="O366" s="3" t="s">
        <v>33</v>
      </c>
      <c r="P366" s="10" t="s">
        <v>576</v>
      </c>
      <c r="Q366" s="3" t="s">
        <v>34</v>
      </c>
      <c r="R366" s="3">
        <v>15</v>
      </c>
      <c r="S366" s="3">
        <v>1</v>
      </c>
      <c r="T366" s="10" t="s">
        <v>576</v>
      </c>
      <c r="U366" s="10" t="s">
        <v>576</v>
      </c>
      <c r="V366" s="3" t="s">
        <v>37</v>
      </c>
      <c r="W366" s="11" t="str" cm="1">
        <f t="array" ref="W366">IF(H366="Request","No SLA for Request", IF(F366="Emergency",B366+(4/24), WORKDAY(B366, _xlfn.IFS(F366="High", 3, F366="Normal", 5, F366="Low", 10))))</f>
        <v>No SLA for Request</v>
      </c>
      <c r="X366" t="str">
        <f t="shared" si="5"/>
        <v>N/A</v>
      </c>
    </row>
    <row r="367" spans="1:24" ht="12.75" x14ac:dyDescent="0.2">
      <c r="A367" s="3">
        <v>111354</v>
      </c>
      <c r="B367" s="8">
        <v>43803.671527777777</v>
      </c>
      <c r="C367" s="3" t="s">
        <v>437</v>
      </c>
      <c r="D367" s="3" t="s">
        <v>78</v>
      </c>
      <c r="E367" s="3" t="s">
        <v>79</v>
      </c>
      <c r="F367" s="3" t="s">
        <v>124</v>
      </c>
      <c r="G367" s="3" t="s">
        <v>29</v>
      </c>
      <c r="H367" s="3" t="s">
        <v>30</v>
      </c>
      <c r="I367" s="3" t="s">
        <v>31</v>
      </c>
      <c r="J367" s="3" t="s">
        <v>32</v>
      </c>
      <c r="K367" s="8">
        <v>43817.447916666664</v>
      </c>
      <c r="L367" s="8">
        <v>43804.171527777777</v>
      </c>
      <c r="M367" s="3">
        <v>0</v>
      </c>
      <c r="N367" s="3">
        <v>1</v>
      </c>
      <c r="O367" s="3" t="s">
        <v>33</v>
      </c>
      <c r="P367" s="10" t="s">
        <v>576</v>
      </c>
      <c r="Q367" s="3" t="s">
        <v>43</v>
      </c>
      <c r="R367" s="3">
        <v>7</v>
      </c>
      <c r="S367" s="3">
        <v>1</v>
      </c>
      <c r="T367" s="10" t="s">
        <v>576</v>
      </c>
      <c r="U367" s="10" t="s">
        <v>576</v>
      </c>
      <c r="V367" s="3" t="s">
        <v>37</v>
      </c>
      <c r="W367" s="11" cm="1">
        <f t="array" ref="W367">IF(H367="Request","No SLA for Request", IF(F367="Emergency",B367+(4/24), WORKDAY(B367, _xlfn.IFS(F367="High", 3, F367="Normal", 5, F367="Low", 10))))</f>
        <v>43810</v>
      </c>
      <c r="X367" t="str">
        <f t="shared" si="5"/>
        <v>Yes</v>
      </c>
    </row>
    <row r="368" spans="1:24" ht="12.75" x14ac:dyDescent="0.2">
      <c r="A368" s="3">
        <v>111339</v>
      </c>
      <c r="B368" s="8">
        <v>43773.618750000001</v>
      </c>
      <c r="C368" s="3" t="s">
        <v>446</v>
      </c>
      <c r="D368" s="3" t="s">
        <v>63</v>
      </c>
      <c r="E368" s="3" t="s">
        <v>64</v>
      </c>
      <c r="F368" s="3" t="s">
        <v>124</v>
      </c>
      <c r="G368" s="3" t="s">
        <v>29</v>
      </c>
      <c r="H368" s="3" t="s">
        <v>30</v>
      </c>
      <c r="I368" s="3" t="s">
        <v>31</v>
      </c>
      <c r="J368" s="3" t="s">
        <v>32</v>
      </c>
      <c r="K368" s="8">
        <v>43817.445138888892</v>
      </c>
      <c r="L368" s="8">
        <v>43774.118750000001</v>
      </c>
      <c r="M368" s="3">
        <v>0</v>
      </c>
      <c r="N368" s="3">
        <v>1</v>
      </c>
      <c r="O368" s="3" t="s">
        <v>33</v>
      </c>
      <c r="P368" s="10" t="s">
        <v>576</v>
      </c>
      <c r="Q368" s="3" t="s">
        <v>34</v>
      </c>
      <c r="R368" s="3">
        <v>20</v>
      </c>
      <c r="S368" s="3">
        <v>1</v>
      </c>
      <c r="T368" s="10" t="s">
        <v>576</v>
      </c>
      <c r="U368" s="10" t="s">
        <v>576</v>
      </c>
      <c r="V368" s="3" t="s">
        <v>48</v>
      </c>
      <c r="W368" s="11" cm="1">
        <f t="array" ref="W368">IF(H368="Request","No SLA for Request", IF(F368="Emergency",B368+(4/24), WORKDAY(B368, _xlfn.IFS(F368="High", 3, F368="Normal", 5, F368="Low", 10))))</f>
        <v>43780</v>
      </c>
      <c r="X368" t="str">
        <f t="shared" si="5"/>
        <v>Yes</v>
      </c>
    </row>
    <row r="369" spans="1:24" ht="12.75" x14ac:dyDescent="0.2">
      <c r="A369" s="3">
        <v>111341</v>
      </c>
      <c r="B369" s="8">
        <v>43775.585416666669</v>
      </c>
      <c r="C369" s="3" t="s">
        <v>169</v>
      </c>
      <c r="D369" s="3" t="s">
        <v>63</v>
      </c>
      <c r="E369" s="3" t="s">
        <v>64</v>
      </c>
      <c r="F369" s="3" t="s">
        <v>124</v>
      </c>
      <c r="G369" s="3" t="s">
        <v>29</v>
      </c>
      <c r="H369" s="3" t="s">
        <v>30</v>
      </c>
      <c r="I369" s="3" t="s">
        <v>31</v>
      </c>
      <c r="J369" s="3" t="s">
        <v>32</v>
      </c>
      <c r="K369" s="8">
        <v>43812.76458333333</v>
      </c>
      <c r="L369" s="8">
        <v>43776.085416666669</v>
      </c>
      <c r="M369" s="3">
        <v>0</v>
      </c>
      <c r="N369" s="3">
        <v>1</v>
      </c>
      <c r="O369" s="3" t="s">
        <v>33</v>
      </c>
      <c r="P369" s="10" t="s">
        <v>576</v>
      </c>
      <c r="Q369" s="3" t="s">
        <v>34</v>
      </c>
      <c r="R369" s="3">
        <v>18</v>
      </c>
      <c r="S369" s="3">
        <v>3</v>
      </c>
      <c r="T369" s="10" t="s">
        <v>576</v>
      </c>
      <c r="U369" s="10" t="s">
        <v>576</v>
      </c>
      <c r="V369" s="3" t="s">
        <v>48</v>
      </c>
      <c r="W369" s="11" cm="1">
        <f t="array" ref="W369">IF(H369="Request","No SLA for Request", IF(F369="Emergency",B369+(4/24), WORKDAY(B369, _xlfn.IFS(F369="High", 3, F369="Normal", 5, F369="Low", 10))))</f>
        <v>43782</v>
      </c>
      <c r="X369" t="str">
        <f t="shared" si="5"/>
        <v>Yes</v>
      </c>
    </row>
    <row r="370" spans="1:24" ht="12.75" x14ac:dyDescent="0.2">
      <c r="A370" s="3">
        <v>111303</v>
      </c>
      <c r="B370" s="8">
        <v>43727.394444444442</v>
      </c>
      <c r="C370" s="3" t="s">
        <v>447</v>
      </c>
      <c r="D370" s="3" t="s">
        <v>603</v>
      </c>
      <c r="E370" s="3" t="s">
        <v>604</v>
      </c>
      <c r="F370" s="3" t="s">
        <v>124</v>
      </c>
      <c r="G370" s="3" t="s">
        <v>29</v>
      </c>
      <c r="H370" s="3" t="s">
        <v>30</v>
      </c>
      <c r="I370" s="3" t="s">
        <v>31</v>
      </c>
      <c r="J370" s="3" t="s">
        <v>32</v>
      </c>
      <c r="K370" s="8">
        <v>43812.753472222219</v>
      </c>
      <c r="L370" s="8">
        <v>43727.894444444442</v>
      </c>
      <c r="M370" s="3">
        <v>0</v>
      </c>
      <c r="N370" s="3">
        <v>1</v>
      </c>
      <c r="O370" s="3" t="s">
        <v>33</v>
      </c>
      <c r="P370" s="10" t="s">
        <v>576</v>
      </c>
      <c r="Q370" s="3" t="s">
        <v>34</v>
      </c>
      <c r="R370" s="3">
        <v>13</v>
      </c>
      <c r="S370" s="3">
        <v>1</v>
      </c>
      <c r="T370" s="10" t="s">
        <v>576</v>
      </c>
      <c r="U370" s="10" t="s">
        <v>576</v>
      </c>
      <c r="V370" s="3" t="s">
        <v>48</v>
      </c>
      <c r="W370" s="11" cm="1">
        <f t="array" ref="W370">IF(H370="Request","No SLA for Request", IF(F370="Emergency",B370+(4/24), WORKDAY(B370, _xlfn.IFS(F370="High", 3, F370="Normal", 5, F370="Low", 10))))</f>
        <v>43734</v>
      </c>
      <c r="X370" t="str">
        <f t="shared" si="5"/>
        <v>Yes</v>
      </c>
    </row>
    <row r="371" spans="1:24" ht="12.75" x14ac:dyDescent="0.2">
      <c r="A371" s="3">
        <v>111350</v>
      </c>
      <c r="B371" s="8">
        <v>43795.739583333336</v>
      </c>
      <c r="C371" s="3" t="s">
        <v>448</v>
      </c>
      <c r="D371" s="3" t="s">
        <v>49</v>
      </c>
      <c r="E371" s="3" t="s">
        <v>50</v>
      </c>
      <c r="F371" s="3" t="s">
        <v>124</v>
      </c>
      <c r="G371" s="3" t="s">
        <v>29</v>
      </c>
      <c r="H371" s="3" t="s">
        <v>53</v>
      </c>
      <c r="I371" s="3" t="s">
        <v>31</v>
      </c>
      <c r="J371" s="3" t="s">
        <v>32</v>
      </c>
      <c r="K371" s="8">
        <v>43809.354166666664</v>
      </c>
      <c r="L371" s="8">
        <v>43796.239583333336</v>
      </c>
      <c r="M371" s="3">
        <v>0</v>
      </c>
      <c r="N371" s="3">
        <v>1</v>
      </c>
      <c r="O371" s="3" t="s">
        <v>33</v>
      </c>
      <c r="P371" s="10" t="s">
        <v>576</v>
      </c>
      <c r="Q371" s="3" t="s">
        <v>34</v>
      </c>
      <c r="R371" s="3">
        <v>4</v>
      </c>
      <c r="S371" s="3">
        <v>0</v>
      </c>
      <c r="T371" s="10" t="s">
        <v>576</v>
      </c>
      <c r="U371" s="10" t="s">
        <v>576</v>
      </c>
      <c r="V371" s="3" t="s">
        <v>37</v>
      </c>
      <c r="W371" s="11" t="str" cm="1">
        <f t="array" ref="W371">IF(H371="Request","No SLA for Request", IF(F371="Emergency",B371+(4/24), WORKDAY(B371, _xlfn.IFS(F371="High", 3, F371="Normal", 5, F371="Low", 10))))</f>
        <v>No SLA for Request</v>
      </c>
      <c r="X371" t="str">
        <f t="shared" si="5"/>
        <v>N/A</v>
      </c>
    </row>
    <row r="372" spans="1:24" ht="12.75" x14ac:dyDescent="0.2">
      <c r="A372" s="3">
        <v>111349</v>
      </c>
      <c r="B372" s="8">
        <v>43794.717361111114</v>
      </c>
      <c r="C372" s="3" t="s">
        <v>170</v>
      </c>
      <c r="D372" s="3" t="s">
        <v>49</v>
      </c>
      <c r="E372" s="3" t="s">
        <v>50</v>
      </c>
      <c r="F372" s="3" t="s">
        <v>124</v>
      </c>
      <c r="G372" s="3" t="s">
        <v>29</v>
      </c>
      <c r="H372" s="3" t="s">
        <v>30</v>
      </c>
      <c r="I372" s="3" t="s">
        <v>31</v>
      </c>
      <c r="J372" s="3" t="s">
        <v>32</v>
      </c>
      <c r="K372" s="8">
        <v>43801.729861111111</v>
      </c>
      <c r="L372" s="8">
        <v>43795.217361111114</v>
      </c>
      <c r="M372" s="3">
        <v>0</v>
      </c>
      <c r="N372" s="3">
        <v>1</v>
      </c>
      <c r="O372" s="3" t="s">
        <v>33</v>
      </c>
      <c r="P372" s="10" t="s">
        <v>576</v>
      </c>
      <c r="Q372" s="3" t="s">
        <v>34</v>
      </c>
      <c r="R372" s="3">
        <v>5</v>
      </c>
      <c r="S372" s="3">
        <v>1</v>
      </c>
      <c r="T372" s="10" t="s">
        <v>576</v>
      </c>
      <c r="U372" s="10" t="s">
        <v>576</v>
      </c>
      <c r="V372" s="3" t="s">
        <v>37</v>
      </c>
      <c r="W372" s="11" cm="1">
        <f t="array" ref="W372">IF(H372="Request","No SLA for Request", IF(F372="Emergency",B372+(4/24), WORKDAY(B372, _xlfn.IFS(F372="High", 3, F372="Normal", 5, F372="Low", 10))))</f>
        <v>43801</v>
      </c>
      <c r="X372" t="str">
        <f t="shared" si="5"/>
        <v>Yes</v>
      </c>
    </row>
    <row r="373" spans="1:24" ht="12.75" x14ac:dyDescent="0.2">
      <c r="A373" s="3">
        <v>111338</v>
      </c>
      <c r="B373" s="8">
        <v>43768.703472222223</v>
      </c>
      <c r="C373" s="3" t="s">
        <v>449</v>
      </c>
      <c r="D373" s="3" t="s">
        <v>70</v>
      </c>
      <c r="E373" s="3" t="s">
        <v>71</v>
      </c>
      <c r="F373" s="3" t="s">
        <v>124</v>
      </c>
      <c r="G373" s="3" t="s">
        <v>29</v>
      </c>
      <c r="H373" s="3" t="s">
        <v>30</v>
      </c>
      <c r="I373" s="3" t="s">
        <v>31</v>
      </c>
      <c r="J373" s="3" t="s">
        <v>32</v>
      </c>
      <c r="K373" s="8">
        <v>43796.73333333333</v>
      </c>
      <c r="L373" s="8">
        <v>43791.708333333336</v>
      </c>
      <c r="M373" s="3">
        <v>0</v>
      </c>
      <c r="N373" s="3">
        <v>1</v>
      </c>
      <c r="O373" s="3" t="s">
        <v>33</v>
      </c>
      <c r="P373" s="10" t="s">
        <v>576</v>
      </c>
      <c r="Q373" s="3" t="s">
        <v>43</v>
      </c>
      <c r="R373" s="3">
        <v>33</v>
      </c>
      <c r="S373" s="3">
        <v>20</v>
      </c>
      <c r="T373" s="10" t="s">
        <v>576</v>
      </c>
      <c r="U373" s="10" t="s">
        <v>576</v>
      </c>
      <c r="V373" s="3" t="s">
        <v>37</v>
      </c>
      <c r="W373" s="11" cm="1">
        <f t="array" ref="W373">IF(H373="Request","No SLA for Request", IF(F373="Emergency",B373+(4/24), WORKDAY(B373, _xlfn.IFS(F373="High", 3, F373="Normal", 5, F373="Low", 10))))</f>
        <v>43775</v>
      </c>
      <c r="X373" t="str">
        <f t="shared" si="5"/>
        <v>Yes</v>
      </c>
    </row>
    <row r="374" spans="1:24" ht="12.75" x14ac:dyDescent="0.2">
      <c r="A374" s="3">
        <v>111342</v>
      </c>
      <c r="B374" s="8">
        <v>43775.757638888892</v>
      </c>
      <c r="C374" s="3" t="s">
        <v>450</v>
      </c>
      <c r="D374" s="3" t="s">
        <v>96</v>
      </c>
      <c r="E374" s="3" t="s">
        <v>97</v>
      </c>
      <c r="F374" s="3" t="s">
        <v>124</v>
      </c>
      <c r="G374" s="3" t="s">
        <v>29</v>
      </c>
      <c r="H374" s="3" t="s">
        <v>30</v>
      </c>
      <c r="I374" s="3" t="s">
        <v>31</v>
      </c>
      <c r="J374" s="3" t="s">
        <v>32</v>
      </c>
      <c r="K374" s="8">
        <v>43796.718055555553</v>
      </c>
      <c r="L374" s="8">
        <v>43790.708333333336</v>
      </c>
      <c r="M374" s="3">
        <v>0</v>
      </c>
      <c r="N374" s="3">
        <v>1</v>
      </c>
      <c r="O374" s="3" t="s">
        <v>33</v>
      </c>
      <c r="P374" s="10" t="s">
        <v>576</v>
      </c>
      <c r="Q374" s="3" t="s">
        <v>43</v>
      </c>
      <c r="R374" s="3">
        <v>22</v>
      </c>
      <c r="S374" s="3">
        <v>11</v>
      </c>
      <c r="T374" s="10" t="s">
        <v>576</v>
      </c>
      <c r="U374" s="10" t="s">
        <v>576</v>
      </c>
      <c r="V374" s="3" t="s">
        <v>37</v>
      </c>
      <c r="W374" s="11" cm="1">
        <f t="array" ref="W374">IF(H374="Request","No SLA for Request", IF(F374="Emergency",B374+(4/24), WORKDAY(B374, _xlfn.IFS(F374="High", 3, F374="Normal", 5, F374="Low", 10))))</f>
        <v>43782</v>
      </c>
      <c r="X374" t="str">
        <f t="shared" si="5"/>
        <v>Yes</v>
      </c>
    </row>
    <row r="375" spans="1:24" ht="12.75" x14ac:dyDescent="0.2">
      <c r="A375" s="3">
        <v>111348</v>
      </c>
      <c r="B375" s="8">
        <v>43794.62222222222</v>
      </c>
      <c r="C375" s="3" t="s">
        <v>451</v>
      </c>
      <c r="D375" s="3" t="s">
        <v>70</v>
      </c>
      <c r="E375" s="3" t="s">
        <v>71</v>
      </c>
      <c r="F375" s="3" t="s">
        <v>124</v>
      </c>
      <c r="G375" s="3" t="s">
        <v>29</v>
      </c>
      <c r="H375" s="3" t="s">
        <v>53</v>
      </c>
      <c r="I375" s="3" t="s">
        <v>31</v>
      </c>
      <c r="J375" s="3" t="s">
        <v>32</v>
      </c>
      <c r="K375" s="8">
        <v>43796.716666666667</v>
      </c>
      <c r="L375" s="8">
        <v>43795.12222222222</v>
      </c>
      <c r="M375" s="3">
        <v>0</v>
      </c>
      <c r="N375" s="3">
        <v>1</v>
      </c>
      <c r="O375" s="3" t="s">
        <v>33</v>
      </c>
      <c r="P375" s="10" t="s">
        <v>576</v>
      </c>
      <c r="Q375" s="3" t="s">
        <v>43</v>
      </c>
      <c r="R375" s="3">
        <v>8</v>
      </c>
      <c r="S375" s="3">
        <v>5</v>
      </c>
      <c r="T375" s="10" t="s">
        <v>576</v>
      </c>
      <c r="U375" s="10" t="s">
        <v>576</v>
      </c>
      <c r="V375" s="3" t="s">
        <v>37</v>
      </c>
      <c r="W375" s="11" t="str" cm="1">
        <f t="array" ref="W375">IF(H375="Request","No SLA for Request", IF(F375="Emergency",B375+(4/24), WORKDAY(B375, _xlfn.IFS(F375="High", 3, F375="Normal", 5, F375="Low", 10))))</f>
        <v>No SLA for Request</v>
      </c>
      <c r="X375" t="str">
        <f t="shared" si="5"/>
        <v>N/A</v>
      </c>
    </row>
    <row r="376" spans="1:24" ht="12.75" x14ac:dyDescent="0.2">
      <c r="A376" s="3">
        <v>111344</v>
      </c>
      <c r="B376" s="8">
        <v>43784.602083333331</v>
      </c>
      <c r="C376" s="3" t="s">
        <v>452</v>
      </c>
      <c r="D376" s="3" t="s">
        <v>49</v>
      </c>
      <c r="E376" s="3" t="s">
        <v>50</v>
      </c>
      <c r="F376" s="3" t="s">
        <v>124</v>
      </c>
      <c r="G376" s="3" t="s">
        <v>29</v>
      </c>
      <c r="H376" s="3" t="s">
        <v>53</v>
      </c>
      <c r="I376" s="3" t="s">
        <v>31</v>
      </c>
      <c r="J376" s="3" t="s">
        <v>32</v>
      </c>
      <c r="K376" s="8">
        <v>43794.724999999999</v>
      </c>
      <c r="L376" s="8">
        <v>43785.102083333331</v>
      </c>
      <c r="M376" s="3">
        <v>0</v>
      </c>
      <c r="N376" s="3">
        <v>1</v>
      </c>
      <c r="O376" s="3" t="s">
        <v>33</v>
      </c>
      <c r="P376" s="10" t="s">
        <v>576</v>
      </c>
      <c r="Q376" s="3" t="s">
        <v>72</v>
      </c>
      <c r="R376" s="3">
        <v>5</v>
      </c>
      <c r="S376" s="3">
        <v>0</v>
      </c>
      <c r="T376" s="10" t="s">
        <v>576</v>
      </c>
      <c r="U376" s="10" t="s">
        <v>576</v>
      </c>
      <c r="V376" s="3" t="s">
        <v>48</v>
      </c>
      <c r="W376" s="11" t="str" cm="1">
        <f t="array" ref="W376">IF(H376="Request","No SLA for Request", IF(F376="Emergency",B376+(4/24), WORKDAY(B376, _xlfn.IFS(F376="High", 3, F376="Normal", 5, F376="Low", 10))))</f>
        <v>No SLA for Request</v>
      </c>
      <c r="X376" t="str">
        <f t="shared" si="5"/>
        <v>N/A</v>
      </c>
    </row>
    <row r="377" spans="1:24" ht="12.75" x14ac:dyDescent="0.2">
      <c r="A377" s="3">
        <v>111345</v>
      </c>
      <c r="B377" s="8">
        <v>43784.756944444445</v>
      </c>
      <c r="C377" s="3" t="s">
        <v>453</v>
      </c>
      <c r="D377" s="3" t="s">
        <v>103</v>
      </c>
      <c r="E377" s="3" t="s">
        <v>104</v>
      </c>
      <c r="F377" s="3" t="s">
        <v>124</v>
      </c>
      <c r="G377" s="3" t="s">
        <v>29</v>
      </c>
      <c r="H377" s="3" t="s">
        <v>30</v>
      </c>
      <c r="I377" s="3" t="s">
        <v>31</v>
      </c>
      <c r="J377" s="3" t="s">
        <v>32</v>
      </c>
      <c r="K377" s="8">
        <v>43790.739583333336</v>
      </c>
      <c r="L377" s="8">
        <v>43785.256944444445</v>
      </c>
      <c r="M377" s="3">
        <v>0</v>
      </c>
      <c r="N377" s="3">
        <v>1</v>
      </c>
      <c r="O377" s="3" t="s">
        <v>33</v>
      </c>
      <c r="P377" s="10" t="s">
        <v>576</v>
      </c>
      <c r="Q377" s="3" t="s">
        <v>43</v>
      </c>
      <c r="R377" s="3">
        <v>7</v>
      </c>
      <c r="S377" s="3">
        <v>1</v>
      </c>
      <c r="T377" s="10" t="s">
        <v>576</v>
      </c>
      <c r="U377" s="10" t="s">
        <v>576</v>
      </c>
      <c r="V377" s="3" t="s">
        <v>37</v>
      </c>
      <c r="W377" s="11" cm="1">
        <f t="array" ref="W377">IF(H377="Request","No SLA for Request", IF(F377="Emergency",B377+(4/24), WORKDAY(B377, _xlfn.IFS(F377="High", 3, F377="Normal", 5, F377="Low", 10))))</f>
        <v>43791</v>
      </c>
      <c r="X377" t="str">
        <f t="shared" si="5"/>
        <v>No</v>
      </c>
    </row>
    <row r="378" spans="1:24" ht="12.75" x14ac:dyDescent="0.2">
      <c r="A378" s="3">
        <v>111328</v>
      </c>
      <c r="B378" s="8">
        <v>43755.496527777781</v>
      </c>
      <c r="C378" s="3" t="s">
        <v>454</v>
      </c>
      <c r="D378" s="3" t="s">
        <v>49</v>
      </c>
      <c r="E378" s="3" t="s">
        <v>50</v>
      </c>
      <c r="F378" s="3" t="s">
        <v>124</v>
      </c>
      <c r="G378" s="3" t="s">
        <v>29</v>
      </c>
      <c r="H378" s="3" t="s">
        <v>53</v>
      </c>
      <c r="I378" s="3" t="s">
        <v>31</v>
      </c>
      <c r="J378" s="3" t="s">
        <v>32</v>
      </c>
      <c r="K378" s="8">
        <v>43784.728472222225</v>
      </c>
      <c r="L378" s="8">
        <v>43755.996527777781</v>
      </c>
      <c r="M378" s="3">
        <v>0</v>
      </c>
      <c r="N378" s="3">
        <v>1</v>
      </c>
      <c r="O378" s="3" t="s">
        <v>33</v>
      </c>
      <c r="P378" s="10" t="s">
        <v>576</v>
      </c>
      <c r="Q378" s="3" t="s">
        <v>34</v>
      </c>
      <c r="R378" s="3">
        <v>7</v>
      </c>
      <c r="S378" s="3">
        <v>1</v>
      </c>
      <c r="T378" s="10" t="s">
        <v>576</v>
      </c>
      <c r="U378" s="10" t="s">
        <v>576</v>
      </c>
      <c r="V378" s="3" t="s">
        <v>48</v>
      </c>
      <c r="W378" s="11" t="str" cm="1">
        <f t="array" ref="W378">IF(H378="Request","No SLA for Request", IF(F378="Emergency",B378+(4/24), WORKDAY(B378, _xlfn.IFS(F378="High", 3, F378="Normal", 5, F378="Low", 10))))</f>
        <v>No SLA for Request</v>
      </c>
      <c r="X378" t="str">
        <f t="shared" si="5"/>
        <v>N/A</v>
      </c>
    </row>
    <row r="379" spans="1:24" ht="12.75" x14ac:dyDescent="0.2">
      <c r="A379" s="3">
        <v>111343</v>
      </c>
      <c r="B379" s="8">
        <v>43776.692361111112</v>
      </c>
      <c r="C379" s="3" t="s">
        <v>455</v>
      </c>
      <c r="D379" s="3" t="s">
        <v>70</v>
      </c>
      <c r="E379" s="3" t="s">
        <v>71</v>
      </c>
      <c r="F379" s="3" t="s">
        <v>124</v>
      </c>
      <c r="G379" s="3" t="s">
        <v>29</v>
      </c>
      <c r="H379" s="3" t="s">
        <v>53</v>
      </c>
      <c r="I379" s="3" t="s">
        <v>31</v>
      </c>
      <c r="J379" s="3" t="s">
        <v>32</v>
      </c>
      <c r="K379" s="8">
        <v>43777.667361111111</v>
      </c>
      <c r="L379" s="8">
        <v>43777.192361111112</v>
      </c>
      <c r="M379" s="3">
        <v>0</v>
      </c>
      <c r="N379" s="3">
        <v>1</v>
      </c>
      <c r="O379" s="3" t="s">
        <v>33</v>
      </c>
      <c r="P379" s="10" t="s">
        <v>576</v>
      </c>
      <c r="Q379" s="3" t="s">
        <v>43</v>
      </c>
      <c r="R379" s="3">
        <v>4</v>
      </c>
      <c r="S379" s="3">
        <v>2</v>
      </c>
      <c r="T379" s="10" t="s">
        <v>576</v>
      </c>
      <c r="U379" s="10" t="s">
        <v>576</v>
      </c>
      <c r="V379" s="3" t="s">
        <v>37</v>
      </c>
      <c r="W379" s="11" t="str" cm="1">
        <f t="array" ref="W379">IF(H379="Request","No SLA for Request", IF(F379="Emergency",B379+(4/24), WORKDAY(B379, _xlfn.IFS(F379="High", 3, F379="Normal", 5, F379="Low", 10))))</f>
        <v>No SLA for Request</v>
      </c>
      <c r="X379" t="str">
        <f t="shared" si="5"/>
        <v>N/A</v>
      </c>
    </row>
    <row r="380" spans="1:24" ht="12.75" x14ac:dyDescent="0.2">
      <c r="A380" s="3">
        <v>111332</v>
      </c>
      <c r="B380" s="8">
        <v>43763.427083333336</v>
      </c>
      <c r="C380" s="3" t="s">
        <v>456</v>
      </c>
      <c r="D380" s="3" t="s">
        <v>49</v>
      </c>
      <c r="E380" s="3" t="s">
        <v>50</v>
      </c>
      <c r="F380" s="3" t="s">
        <v>124</v>
      </c>
      <c r="G380" s="3" t="s">
        <v>29</v>
      </c>
      <c r="H380" s="3" t="s">
        <v>53</v>
      </c>
      <c r="I380" s="3" t="s">
        <v>31</v>
      </c>
      <c r="J380" s="3" t="s">
        <v>32</v>
      </c>
      <c r="K380" s="8">
        <v>43775.731249999997</v>
      </c>
      <c r="L380" s="8">
        <v>43763.927083333336</v>
      </c>
      <c r="M380" s="3">
        <v>0</v>
      </c>
      <c r="N380" s="3">
        <v>1</v>
      </c>
      <c r="O380" s="3" t="s">
        <v>33</v>
      </c>
      <c r="P380" s="10" t="s">
        <v>576</v>
      </c>
      <c r="Q380" s="3" t="s">
        <v>34</v>
      </c>
      <c r="R380" s="3">
        <v>5</v>
      </c>
      <c r="S380" s="3">
        <v>0</v>
      </c>
      <c r="T380" s="10" t="s">
        <v>576</v>
      </c>
      <c r="U380" s="10" t="s">
        <v>576</v>
      </c>
      <c r="V380" s="3" t="s">
        <v>48</v>
      </c>
      <c r="W380" s="11" t="str" cm="1">
        <f t="array" ref="W380">IF(H380="Request","No SLA for Request", IF(F380="Emergency",B380+(4/24), WORKDAY(B380, _xlfn.IFS(F380="High", 3, F380="Normal", 5, F380="Low", 10))))</f>
        <v>No SLA for Request</v>
      </c>
      <c r="X380" t="str">
        <f t="shared" si="5"/>
        <v>N/A</v>
      </c>
    </row>
    <row r="381" spans="1:24" ht="12.75" x14ac:dyDescent="0.2">
      <c r="A381" s="3">
        <v>111340</v>
      </c>
      <c r="B381" s="8">
        <v>43774.447222222225</v>
      </c>
      <c r="C381" s="3" t="s">
        <v>457</v>
      </c>
      <c r="D381" s="3" t="s">
        <v>49</v>
      </c>
      <c r="E381" s="3" t="s">
        <v>50</v>
      </c>
      <c r="F381" s="3" t="s">
        <v>124</v>
      </c>
      <c r="G381" s="3" t="s">
        <v>29</v>
      </c>
      <c r="H381" s="3" t="s">
        <v>53</v>
      </c>
      <c r="I381" s="3" t="s">
        <v>31</v>
      </c>
      <c r="J381" s="3" t="s">
        <v>32</v>
      </c>
      <c r="K381" s="8">
        <v>43774.597222222219</v>
      </c>
      <c r="L381" s="8">
        <v>43774.947222222225</v>
      </c>
      <c r="M381" s="3">
        <v>0</v>
      </c>
      <c r="N381" s="3">
        <v>1</v>
      </c>
      <c r="O381" s="3" t="s">
        <v>33</v>
      </c>
      <c r="P381" s="10" t="s">
        <v>576</v>
      </c>
      <c r="Q381" s="3" t="s">
        <v>72</v>
      </c>
      <c r="R381" s="3">
        <v>7</v>
      </c>
      <c r="S381" s="3">
        <v>0</v>
      </c>
      <c r="T381" s="10" t="s">
        <v>576</v>
      </c>
      <c r="U381" s="10" t="s">
        <v>576</v>
      </c>
      <c r="V381" s="3" t="s">
        <v>48</v>
      </c>
      <c r="W381" s="11" t="str" cm="1">
        <f t="array" ref="W381">IF(H381="Request","No SLA for Request", IF(F381="Emergency",B381+(4/24), WORKDAY(B381, _xlfn.IFS(F381="High", 3, F381="Normal", 5, F381="Low", 10))))</f>
        <v>No SLA for Request</v>
      </c>
      <c r="X381" t="str">
        <f t="shared" si="5"/>
        <v>N/A</v>
      </c>
    </row>
    <row r="382" spans="1:24" ht="12.75" x14ac:dyDescent="0.2">
      <c r="A382" s="3">
        <v>111330</v>
      </c>
      <c r="B382" s="8">
        <v>43759.725694444445</v>
      </c>
      <c r="C382" s="3" t="s">
        <v>458</v>
      </c>
      <c r="D382" s="3" t="s">
        <v>70</v>
      </c>
      <c r="E382" s="3" t="s">
        <v>71</v>
      </c>
      <c r="F382" s="3" t="s">
        <v>124</v>
      </c>
      <c r="G382" s="3" t="s">
        <v>29</v>
      </c>
      <c r="H382" s="3" t="s">
        <v>30</v>
      </c>
      <c r="I382" s="3" t="s">
        <v>31</v>
      </c>
      <c r="J382" s="3" t="s">
        <v>32</v>
      </c>
      <c r="K382" s="8">
        <v>43767.729166666664</v>
      </c>
      <c r="L382" s="8">
        <v>43762.708333333336</v>
      </c>
      <c r="M382" s="3">
        <v>0</v>
      </c>
      <c r="N382" s="3">
        <v>1</v>
      </c>
      <c r="O382" s="3" t="s">
        <v>33</v>
      </c>
      <c r="P382" s="10" t="s">
        <v>576</v>
      </c>
      <c r="Q382" s="3" t="s">
        <v>43</v>
      </c>
      <c r="R382" s="3">
        <v>8</v>
      </c>
      <c r="S382" s="3">
        <v>4</v>
      </c>
      <c r="T382" s="10" t="s">
        <v>576</v>
      </c>
      <c r="U382" s="10" t="s">
        <v>576</v>
      </c>
      <c r="V382" s="3" t="s">
        <v>37</v>
      </c>
      <c r="W382" s="11" cm="1">
        <f t="array" ref="W382">IF(H382="Request","No SLA for Request", IF(F382="Emergency",B382+(4/24), WORKDAY(B382, _xlfn.IFS(F382="High", 3, F382="Normal", 5, F382="Low", 10))))</f>
        <v>43766</v>
      </c>
      <c r="X382" t="str">
        <f t="shared" si="5"/>
        <v>Yes</v>
      </c>
    </row>
    <row r="383" spans="1:24" ht="12.75" x14ac:dyDescent="0.2">
      <c r="A383" s="3">
        <v>111315</v>
      </c>
      <c r="B383" s="8">
        <v>43741.345833333333</v>
      </c>
      <c r="C383" s="3" t="s">
        <v>459</v>
      </c>
      <c r="D383" s="3" t="s">
        <v>78</v>
      </c>
      <c r="E383" s="3" t="s">
        <v>79</v>
      </c>
      <c r="F383" s="3" t="s">
        <v>124</v>
      </c>
      <c r="G383" s="3" t="s">
        <v>29</v>
      </c>
      <c r="H383" s="3" t="s">
        <v>30</v>
      </c>
      <c r="I383" s="3" t="s">
        <v>31</v>
      </c>
      <c r="J383" s="3" t="s">
        <v>32</v>
      </c>
      <c r="K383" s="8">
        <v>43762.711111111108</v>
      </c>
      <c r="L383" s="8">
        <v>43759.708333333336</v>
      </c>
      <c r="M383" s="3">
        <v>0</v>
      </c>
      <c r="N383" s="3">
        <v>1</v>
      </c>
      <c r="O383" s="3" t="s">
        <v>33</v>
      </c>
      <c r="P383" s="10" t="s">
        <v>576</v>
      </c>
      <c r="Q383" s="3" t="s">
        <v>43</v>
      </c>
      <c r="R383" s="3">
        <v>21</v>
      </c>
      <c r="S383" s="3">
        <v>5</v>
      </c>
      <c r="T383" s="10" t="s">
        <v>576</v>
      </c>
      <c r="U383" s="10" t="s">
        <v>576</v>
      </c>
      <c r="V383" s="3" t="s">
        <v>37</v>
      </c>
      <c r="W383" s="11" cm="1">
        <f t="array" ref="W383">IF(H383="Request","No SLA for Request", IF(F383="Emergency",B383+(4/24), WORKDAY(B383, _xlfn.IFS(F383="High", 3, F383="Normal", 5, F383="Low", 10))))</f>
        <v>43748</v>
      </c>
      <c r="X383" t="str">
        <f t="shared" si="5"/>
        <v>Yes</v>
      </c>
    </row>
    <row r="384" spans="1:24" ht="12.75" x14ac:dyDescent="0.2">
      <c r="A384" s="3">
        <v>111329</v>
      </c>
      <c r="B384" s="8">
        <v>43756.664583333331</v>
      </c>
      <c r="C384" s="3" t="s">
        <v>460</v>
      </c>
      <c r="D384" s="3" t="s">
        <v>70</v>
      </c>
      <c r="E384" s="3" t="s">
        <v>71</v>
      </c>
      <c r="F384" s="3" t="s">
        <v>124</v>
      </c>
      <c r="G384" s="3" t="s">
        <v>29</v>
      </c>
      <c r="H384" s="3" t="s">
        <v>30</v>
      </c>
      <c r="I384" s="3" t="s">
        <v>31</v>
      </c>
      <c r="J384" s="3" t="s">
        <v>32</v>
      </c>
      <c r="K384" s="8">
        <v>43762.709722222222</v>
      </c>
      <c r="L384" s="8">
        <v>43759.708333333336</v>
      </c>
      <c r="M384" s="3">
        <v>0</v>
      </c>
      <c r="N384" s="3">
        <v>1</v>
      </c>
      <c r="O384" s="3" t="s">
        <v>33</v>
      </c>
      <c r="P384" s="10" t="s">
        <v>576</v>
      </c>
      <c r="Q384" s="3" t="s">
        <v>43</v>
      </c>
      <c r="R384" s="3">
        <v>9</v>
      </c>
      <c r="S384" s="3">
        <v>5</v>
      </c>
      <c r="T384" s="10" t="s">
        <v>576</v>
      </c>
      <c r="U384" s="10" t="s">
        <v>576</v>
      </c>
      <c r="V384" s="3" t="s">
        <v>37</v>
      </c>
      <c r="W384" s="11" cm="1">
        <f t="array" ref="W384">IF(H384="Request","No SLA for Request", IF(F384="Emergency",B384+(4/24), WORKDAY(B384, _xlfn.IFS(F384="High", 3, F384="Normal", 5, F384="Low", 10))))</f>
        <v>43763</v>
      </c>
      <c r="X384" t="str">
        <f t="shared" si="5"/>
        <v>No</v>
      </c>
    </row>
    <row r="385" spans="1:24" ht="12.75" x14ac:dyDescent="0.2">
      <c r="A385" s="3">
        <v>111323</v>
      </c>
      <c r="B385" s="8">
        <v>43749.571527777778</v>
      </c>
      <c r="C385" s="3" t="s">
        <v>636</v>
      </c>
      <c r="D385" s="3" t="s">
        <v>78</v>
      </c>
      <c r="E385" s="3" t="s">
        <v>79</v>
      </c>
      <c r="F385" s="3" t="s">
        <v>124</v>
      </c>
      <c r="G385" s="3" t="s">
        <v>29</v>
      </c>
      <c r="H385" s="3" t="s">
        <v>30</v>
      </c>
      <c r="I385" s="3" t="s">
        <v>31</v>
      </c>
      <c r="J385" s="3" t="s">
        <v>32</v>
      </c>
      <c r="K385" s="8">
        <v>43760.754166666666</v>
      </c>
      <c r="L385" s="8">
        <v>43750.071527777778</v>
      </c>
      <c r="M385" s="3">
        <v>0</v>
      </c>
      <c r="N385" s="3">
        <v>1</v>
      </c>
      <c r="O385" s="3" t="s">
        <v>33</v>
      </c>
      <c r="P385" s="10" t="s">
        <v>576</v>
      </c>
      <c r="Q385" s="3" t="s">
        <v>43</v>
      </c>
      <c r="R385" s="3">
        <v>23</v>
      </c>
      <c r="S385" s="3">
        <v>3</v>
      </c>
      <c r="T385" s="10" t="s">
        <v>576</v>
      </c>
      <c r="U385" s="10" t="s">
        <v>576</v>
      </c>
      <c r="V385" s="3" t="s">
        <v>37</v>
      </c>
      <c r="W385" s="11" cm="1">
        <f t="array" ref="W385">IF(H385="Request","No SLA for Request", IF(F385="Emergency",B385+(4/24), WORKDAY(B385, _xlfn.IFS(F385="High", 3, F385="Normal", 5, F385="Low", 10))))</f>
        <v>43756</v>
      </c>
      <c r="X385" t="str">
        <f t="shared" si="5"/>
        <v>Yes</v>
      </c>
    </row>
    <row r="386" spans="1:24" ht="12.75" x14ac:dyDescent="0.2">
      <c r="A386" s="3">
        <v>111319</v>
      </c>
      <c r="B386" s="8">
        <v>43745.565972222219</v>
      </c>
      <c r="C386" s="3" t="s">
        <v>637</v>
      </c>
      <c r="D386" s="3" t="s">
        <v>56</v>
      </c>
      <c r="E386" s="3" t="s">
        <v>57</v>
      </c>
      <c r="F386" s="3" t="s">
        <v>124</v>
      </c>
      <c r="G386" s="3" t="s">
        <v>29</v>
      </c>
      <c r="H386" s="3" t="s">
        <v>30</v>
      </c>
      <c r="I386" s="3" t="s">
        <v>31</v>
      </c>
      <c r="J386" s="3" t="s">
        <v>32</v>
      </c>
      <c r="K386" s="8">
        <v>43756.420138888891</v>
      </c>
      <c r="L386" s="8">
        <v>43746.065972222219</v>
      </c>
      <c r="M386" s="3">
        <v>0</v>
      </c>
      <c r="N386" s="3">
        <v>1</v>
      </c>
      <c r="O386" s="3" t="s">
        <v>33</v>
      </c>
      <c r="P386" s="10" t="s">
        <v>576</v>
      </c>
      <c r="Q386" s="3" t="s">
        <v>43</v>
      </c>
      <c r="R386" s="3">
        <v>8</v>
      </c>
      <c r="S386" s="3">
        <v>2</v>
      </c>
      <c r="T386" s="10" t="s">
        <v>576</v>
      </c>
      <c r="U386" s="10" t="s">
        <v>576</v>
      </c>
      <c r="V386" s="3" t="s">
        <v>48</v>
      </c>
      <c r="W386" s="11" cm="1">
        <f t="array" ref="W386">IF(H386="Request","No SLA for Request", IF(F386="Emergency",B386+(4/24), WORKDAY(B386, _xlfn.IFS(F386="High", 3, F386="Normal", 5, F386="Low", 10))))</f>
        <v>43752</v>
      </c>
      <c r="X386" t="str">
        <f t="shared" si="5"/>
        <v>Yes</v>
      </c>
    </row>
    <row r="387" spans="1:24" ht="12.75" x14ac:dyDescent="0.2">
      <c r="A387" s="3">
        <v>111313</v>
      </c>
      <c r="B387" s="8">
        <v>43740.652777777781</v>
      </c>
      <c r="C387" s="3" t="s">
        <v>638</v>
      </c>
      <c r="D387" s="3" t="s">
        <v>96</v>
      </c>
      <c r="E387" s="3" t="s">
        <v>97</v>
      </c>
      <c r="F387" s="3" t="s">
        <v>124</v>
      </c>
      <c r="G387" s="3" t="s">
        <v>29</v>
      </c>
      <c r="H387" s="3" t="s">
        <v>53</v>
      </c>
      <c r="I387" s="3" t="s">
        <v>31</v>
      </c>
      <c r="J387" s="3" t="s">
        <v>32</v>
      </c>
      <c r="K387" s="8">
        <v>43754.736111111109</v>
      </c>
      <c r="L387" s="8">
        <v>43752.291666666664</v>
      </c>
      <c r="M387" s="3">
        <v>0</v>
      </c>
      <c r="N387" s="3">
        <v>1</v>
      </c>
      <c r="O387" s="3" t="s">
        <v>33</v>
      </c>
      <c r="P387" s="10" t="s">
        <v>576</v>
      </c>
      <c r="Q387" s="3" t="s">
        <v>43</v>
      </c>
      <c r="R387" s="3">
        <v>10</v>
      </c>
      <c r="S387" s="3">
        <v>3</v>
      </c>
      <c r="T387" s="10" t="s">
        <v>576</v>
      </c>
      <c r="U387" s="10" t="s">
        <v>576</v>
      </c>
      <c r="V387" s="3" t="s">
        <v>37</v>
      </c>
      <c r="W387" s="11" t="str" cm="1">
        <f t="array" ref="W387">IF(H387="Request","No SLA for Request", IF(F387="Emergency",B387+(4/24), WORKDAY(B387, _xlfn.IFS(F387="High", 3, F387="Normal", 5, F387="Low", 10))))</f>
        <v>No SLA for Request</v>
      </c>
      <c r="X387" t="str">
        <f t="shared" ref="X387:X450" si="6">IF(K387&gt;=W387,"Yes",IF(W387="No SLA for Request","N/A","No"))</f>
        <v>N/A</v>
      </c>
    </row>
    <row r="388" spans="1:24" ht="12.75" x14ac:dyDescent="0.2">
      <c r="A388" s="3">
        <v>111327</v>
      </c>
      <c r="B388" s="8">
        <v>43753.62777777778</v>
      </c>
      <c r="C388" s="3" t="s">
        <v>639</v>
      </c>
      <c r="D388" s="3" t="s">
        <v>70</v>
      </c>
      <c r="E388" s="3" t="s">
        <v>71</v>
      </c>
      <c r="F388" s="3" t="s">
        <v>124</v>
      </c>
      <c r="G388" s="3" t="s">
        <v>29</v>
      </c>
      <c r="H388" s="3" t="s">
        <v>53</v>
      </c>
      <c r="I388" s="3" t="s">
        <v>31</v>
      </c>
      <c r="J388" s="3" t="s">
        <v>32</v>
      </c>
      <c r="K388" s="8">
        <v>43754.558333333334</v>
      </c>
      <c r="L388" s="8">
        <v>43754.708333333336</v>
      </c>
      <c r="M388" s="3">
        <v>0</v>
      </c>
      <c r="N388" s="3">
        <v>1</v>
      </c>
      <c r="O388" s="3" t="s">
        <v>33</v>
      </c>
      <c r="P388" s="10" t="s">
        <v>576</v>
      </c>
      <c r="Q388" s="3" t="s">
        <v>43</v>
      </c>
      <c r="R388" s="3">
        <v>6</v>
      </c>
      <c r="S388" s="3">
        <v>1</v>
      </c>
      <c r="T388" s="10" t="s">
        <v>576</v>
      </c>
      <c r="U388" s="10" t="s">
        <v>576</v>
      </c>
      <c r="V388" s="3" t="s">
        <v>37</v>
      </c>
      <c r="W388" s="11" t="str" cm="1">
        <f t="array" ref="W388">IF(H388="Request","No SLA for Request", IF(F388="Emergency",B388+(4/24), WORKDAY(B388, _xlfn.IFS(F388="High", 3, F388="Normal", 5, F388="Low", 10))))</f>
        <v>No SLA for Request</v>
      </c>
      <c r="X388" t="str">
        <f t="shared" si="6"/>
        <v>N/A</v>
      </c>
    </row>
    <row r="389" spans="1:24" ht="12.75" x14ac:dyDescent="0.2">
      <c r="A389" s="3">
        <v>111289</v>
      </c>
      <c r="B389" s="8">
        <v>43697.447222222225</v>
      </c>
      <c r="C389" s="3" t="s">
        <v>640</v>
      </c>
      <c r="D389" s="3" t="s">
        <v>603</v>
      </c>
      <c r="E389" s="3" t="s">
        <v>604</v>
      </c>
      <c r="F389" s="3" t="s">
        <v>124</v>
      </c>
      <c r="G389" s="3" t="s">
        <v>29</v>
      </c>
      <c r="H389" s="3" t="s">
        <v>30</v>
      </c>
      <c r="I389" s="3" t="s">
        <v>31</v>
      </c>
      <c r="J389" s="3" t="s">
        <v>32</v>
      </c>
      <c r="K389" s="8">
        <v>43753.718055555553</v>
      </c>
      <c r="L389" s="8">
        <v>43697.947222222225</v>
      </c>
      <c r="M389" s="3">
        <v>0</v>
      </c>
      <c r="N389" s="3">
        <v>1</v>
      </c>
      <c r="O389" s="3" t="s">
        <v>33</v>
      </c>
      <c r="P389" s="10" t="s">
        <v>576</v>
      </c>
      <c r="Q389" s="3" t="s">
        <v>34</v>
      </c>
      <c r="R389" s="3">
        <v>16</v>
      </c>
      <c r="S389" s="3">
        <v>5</v>
      </c>
      <c r="T389" s="10" t="s">
        <v>576</v>
      </c>
      <c r="U389" s="10" t="s">
        <v>576</v>
      </c>
      <c r="V389" s="3" t="s">
        <v>37</v>
      </c>
      <c r="W389" s="11" cm="1">
        <f t="array" ref="W389">IF(H389="Request","No SLA for Request", IF(F389="Emergency",B389+(4/24), WORKDAY(B389, _xlfn.IFS(F389="High", 3, F389="Normal", 5, F389="Low", 10))))</f>
        <v>43704</v>
      </c>
      <c r="X389" t="str">
        <f t="shared" si="6"/>
        <v>Yes</v>
      </c>
    </row>
    <row r="390" spans="1:24" ht="12.75" x14ac:dyDescent="0.2">
      <c r="A390" s="3">
        <v>111311</v>
      </c>
      <c r="B390" s="8">
        <v>43738.421527777777</v>
      </c>
      <c r="C390" s="3" t="s">
        <v>461</v>
      </c>
      <c r="D390" s="3" t="s">
        <v>26</v>
      </c>
      <c r="E390" s="3" t="s">
        <v>27</v>
      </c>
      <c r="F390" s="3" t="s">
        <v>124</v>
      </c>
      <c r="G390" s="3" t="s">
        <v>29</v>
      </c>
      <c r="H390" s="3" t="s">
        <v>30</v>
      </c>
      <c r="I390" s="3" t="s">
        <v>31</v>
      </c>
      <c r="J390" s="3" t="s">
        <v>32</v>
      </c>
      <c r="K390" s="8">
        <v>43747.712500000001</v>
      </c>
      <c r="L390" s="8">
        <v>43738.921527777777</v>
      </c>
      <c r="M390" s="3">
        <v>0</v>
      </c>
      <c r="N390" s="3">
        <v>1</v>
      </c>
      <c r="O390" s="3" t="s">
        <v>33</v>
      </c>
      <c r="P390" s="10" t="s">
        <v>576</v>
      </c>
      <c r="Q390" s="3" t="s">
        <v>34</v>
      </c>
      <c r="R390" s="3">
        <v>17</v>
      </c>
      <c r="S390" s="3">
        <v>3</v>
      </c>
      <c r="T390" s="10" t="s">
        <v>576</v>
      </c>
      <c r="U390" s="10" t="s">
        <v>576</v>
      </c>
      <c r="V390" s="3" t="s">
        <v>37</v>
      </c>
      <c r="W390" s="11" cm="1">
        <f t="array" ref="W390">IF(H390="Request","No SLA for Request", IF(F390="Emergency",B390+(4/24), WORKDAY(B390, _xlfn.IFS(F390="High", 3, F390="Normal", 5, F390="Low", 10))))</f>
        <v>43745</v>
      </c>
      <c r="X390" t="str">
        <f t="shared" si="6"/>
        <v>Yes</v>
      </c>
    </row>
    <row r="391" spans="1:24" ht="12.75" x14ac:dyDescent="0.2">
      <c r="A391" s="3">
        <v>111316</v>
      </c>
      <c r="B391" s="8">
        <v>43741.710416666669</v>
      </c>
      <c r="C391" s="3" t="s">
        <v>462</v>
      </c>
      <c r="D391" s="3" t="s">
        <v>70</v>
      </c>
      <c r="E391" s="3" t="s">
        <v>71</v>
      </c>
      <c r="F391" s="3" t="s">
        <v>124</v>
      </c>
      <c r="G391" s="3" t="s">
        <v>29</v>
      </c>
      <c r="H391" s="3" t="s">
        <v>53</v>
      </c>
      <c r="I391" s="3" t="s">
        <v>31</v>
      </c>
      <c r="J391" s="3" t="s">
        <v>32</v>
      </c>
      <c r="K391" s="8">
        <v>43745.724999999999</v>
      </c>
      <c r="L391" s="8">
        <v>43742.210416666669</v>
      </c>
      <c r="M391" s="3">
        <v>0</v>
      </c>
      <c r="N391" s="3">
        <v>1</v>
      </c>
      <c r="O391" s="3" t="s">
        <v>33</v>
      </c>
      <c r="P391" s="10" t="s">
        <v>576</v>
      </c>
      <c r="Q391" s="3" t="s">
        <v>43</v>
      </c>
      <c r="R391" s="3">
        <v>6</v>
      </c>
      <c r="S391" s="3">
        <v>3</v>
      </c>
      <c r="T391" s="10" t="s">
        <v>576</v>
      </c>
      <c r="U391" s="10" t="s">
        <v>576</v>
      </c>
      <c r="V391" s="3" t="s">
        <v>37</v>
      </c>
      <c r="W391" s="11" t="str" cm="1">
        <f t="array" ref="W391">IF(H391="Request","No SLA for Request", IF(F391="Emergency",B391+(4/24), WORKDAY(B391, _xlfn.IFS(F391="High", 3, F391="Normal", 5, F391="Low", 10))))</f>
        <v>No SLA for Request</v>
      </c>
      <c r="X391" t="str">
        <f t="shared" si="6"/>
        <v>N/A</v>
      </c>
    </row>
    <row r="392" spans="1:24" ht="12.75" x14ac:dyDescent="0.2">
      <c r="A392" s="3">
        <v>111308</v>
      </c>
      <c r="B392" s="8">
        <v>43733.690972222219</v>
      </c>
      <c r="C392" s="3" t="s">
        <v>463</v>
      </c>
      <c r="D392" s="3" t="s">
        <v>78</v>
      </c>
      <c r="E392" s="3" t="s">
        <v>79</v>
      </c>
      <c r="F392" s="3" t="s">
        <v>124</v>
      </c>
      <c r="G392" s="3" t="s">
        <v>29</v>
      </c>
      <c r="H392" s="3" t="s">
        <v>30</v>
      </c>
      <c r="I392" s="3" t="s">
        <v>31</v>
      </c>
      <c r="J392" s="3" t="s">
        <v>32</v>
      </c>
      <c r="K392" s="8">
        <v>43745.71597222222</v>
      </c>
      <c r="L392" s="8">
        <v>43734.190972222219</v>
      </c>
      <c r="M392" s="3">
        <v>0</v>
      </c>
      <c r="N392" s="3">
        <v>1</v>
      </c>
      <c r="O392" s="3" t="s">
        <v>33</v>
      </c>
      <c r="P392" s="10" t="s">
        <v>576</v>
      </c>
      <c r="Q392" s="3" t="s">
        <v>43</v>
      </c>
      <c r="R392" s="3">
        <v>7</v>
      </c>
      <c r="S392" s="3">
        <v>1</v>
      </c>
      <c r="T392" s="10" t="s">
        <v>576</v>
      </c>
      <c r="U392" s="10" t="s">
        <v>576</v>
      </c>
      <c r="V392" s="3" t="s">
        <v>37</v>
      </c>
      <c r="W392" s="11" cm="1">
        <f t="array" ref="W392">IF(H392="Request","No SLA for Request", IF(F392="Emergency",B392+(4/24), WORKDAY(B392, _xlfn.IFS(F392="High", 3, F392="Normal", 5, F392="Low", 10))))</f>
        <v>43740</v>
      </c>
      <c r="X392" t="str">
        <f t="shared" si="6"/>
        <v>Yes</v>
      </c>
    </row>
    <row r="393" spans="1:24" ht="12.75" x14ac:dyDescent="0.2">
      <c r="A393" s="3">
        <v>111305</v>
      </c>
      <c r="B393" s="8">
        <v>43728.679166666669</v>
      </c>
      <c r="C393" s="3" t="s">
        <v>464</v>
      </c>
      <c r="D393" s="3" t="s">
        <v>63</v>
      </c>
      <c r="E393" s="3" t="s">
        <v>64</v>
      </c>
      <c r="F393" s="3" t="s">
        <v>124</v>
      </c>
      <c r="G393" s="3" t="s">
        <v>29</v>
      </c>
      <c r="H393" s="3" t="s">
        <v>30</v>
      </c>
      <c r="I393" s="3" t="s">
        <v>31</v>
      </c>
      <c r="J393" s="3" t="s">
        <v>32</v>
      </c>
      <c r="K393" s="8">
        <v>43741.736805555556</v>
      </c>
      <c r="L393" s="8">
        <v>43729.179166666669</v>
      </c>
      <c r="M393" s="3">
        <v>0</v>
      </c>
      <c r="N393" s="3">
        <v>1</v>
      </c>
      <c r="O393" s="3" t="s">
        <v>33</v>
      </c>
      <c r="P393" s="10" t="s">
        <v>576</v>
      </c>
      <c r="Q393" s="3" t="s">
        <v>34</v>
      </c>
      <c r="R393" s="3">
        <v>11</v>
      </c>
      <c r="S393" s="3">
        <v>1</v>
      </c>
      <c r="T393" s="10" t="s">
        <v>576</v>
      </c>
      <c r="U393" s="10" t="s">
        <v>576</v>
      </c>
      <c r="V393" s="3" t="s">
        <v>48</v>
      </c>
      <c r="W393" s="11" cm="1">
        <f t="array" ref="W393">IF(H393="Request","No SLA for Request", IF(F393="Emergency",B393+(4/24), WORKDAY(B393, _xlfn.IFS(F393="High", 3, F393="Normal", 5, F393="Low", 10))))</f>
        <v>43735</v>
      </c>
      <c r="X393" t="str">
        <f t="shared" si="6"/>
        <v>Yes</v>
      </c>
    </row>
    <row r="394" spans="1:24" ht="12.75" x14ac:dyDescent="0.2">
      <c r="A394" s="3">
        <v>111309</v>
      </c>
      <c r="B394" s="8">
        <v>43734.375694444447</v>
      </c>
      <c r="C394" s="3" t="s">
        <v>641</v>
      </c>
      <c r="D394" s="3" t="s">
        <v>96</v>
      </c>
      <c r="E394" s="3" t="s">
        <v>97</v>
      </c>
      <c r="F394" s="3" t="s">
        <v>124</v>
      </c>
      <c r="G394" s="3" t="s">
        <v>29</v>
      </c>
      <c r="H394" s="3" t="s">
        <v>30</v>
      </c>
      <c r="I394" s="3" t="s">
        <v>31</v>
      </c>
      <c r="J394" s="3" t="s">
        <v>32</v>
      </c>
      <c r="K394" s="8">
        <v>43740.720833333333</v>
      </c>
      <c r="L394" s="8">
        <v>43735.708333333336</v>
      </c>
      <c r="M394" s="3">
        <v>0</v>
      </c>
      <c r="N394" s="3">
        <v>1</v>
      </c>
      <c r="O394" s="3" t="s">
        <v>33</v>
      </c>
      <c r="P394" s="10" t="s">
        <v>576</v>
      </c>
      <c r="Q394" s="3" t="s">
        <v>43</v>
      </c>
      <c r="R394" s="3">
        <v>10</v>
      </c>
      <c r="S394" s="3">
        <v>3</v>
      </c>
      <c r="T394" s="10" t="s">
        <v>576</v>
      </c>
      <c r="U394" s="10" t="s">
        <v>576</v>
      </c>
      <c r="V394" s="3" t="s">
        <v>37</v>
      </c>
      <c r="W394" s="11" cm="1">
        <f t="array" ref="W394">IF(H394="Request","No SLA for Request", IF(F394="Emergency",B394+(4/24), WORKDAY(B394, _xlfn.IFS(F394="High", 3, F394="Normal", 5, F394="Low", 10))))</f>
        <v>43741</v>
      </c>
      <c r="X394" t="str">
        <f t="shared" si="6"/>
        <v>No</v>
      </c>
    </row>
    <row r="395" spans="1:24" ht="12.75" x14ac:dyDescent="0.2">
      <c r="A395" s="3">
        <v>111234</v>
      </c>
      <c r="B395" s="8">
        <v>43635.472916666666</v>
      </c>
      <c r="C395" s="3" t="s">
        <v>465</v>
      </c>
      <c r="D395" s="3" t="s">
        <v>75</v>
      </c>
      <c r="E395" s="3" t="s">
        <v>76</v>
      </c>
      <c r="F395" s="3" t="s">
        <v>124</v>
      </c>
      <c r="G395" s="3" t="s">
        <v>577</v>
      </c>
      <c r="H395" s="3" t="s">
        <v>53</v>
      </c>
      <c r="I395" s="3" t="s">
        <v>68</v>
      </c>
      <c r="J395" s="3" t="s">
        <v>32</v>
      </c>
      <c r="K395" s="8">
        <v>43739.448611111111</v>
      </c>
      <c r="L395" s="8">
        <v>43636.708333333336</v>
      </c>
      <c r="M395" s="3">
        <v>0</v>
      </c>
      <c r="N395" s="3">
        <v>1</v>
      </c>
      <c r="O395" s="3" t="s">
        <v>58</v>
      </c>
      <c r="P395" s="10" t="s">
        <v>576</v>
      </c>
      <c r="Q395" s="3" t="s">
        <v>77</v>
      </c>
      <c r="R395" s="3">
        <v>15</v>
      </c>
      <c r="S395" s="3">
        <v>0</v>
      </c>
      <c r="T395" s="10" t="s">
        <v>576</v>
      </c>
      <c r="U395" s="10" t="s">
        <v>576</v>
      </c>
      <c r="V395" s="3" t="s">
        <v>37</v>
      </c>
      <c r="W395" s="11" t="str" cm="1">
        <f t="array" ref="W395">IF(H395="Request","No SLA for Request", IF(F395="Emergency",B395+(4/24), WORKDAY(B395, _xlfn.IFS(F395="High", 3, F395="Normal", 5, F395="Low", 10))))</f>
        <v>No SLA for Request</v>
      </c>
      <c r="X395" t="str">
        <f t="shared" si="6"/>
        <v>N/A</v>
      </c>
    </row>
    <row r="396" spans="1:24" ht="12.75" x14ac:dyDescent="0.2">
      <c r="A396" s="3">
        <v>111211</v>
      </c>
      <c r="B396" s="8">
        <v>43612.664583333331</v>
      </c>
      <c r="C396" s="3" t="s">
        <v>642</v>
      </c>
      <c r="D396" s="3" t="s">
        <v>75</v>
      </c>
      <c r="E396" s="3" t="s">
        <v>76</v>
      </c>
      <c r="F396" s="3" t="s">
        <v>124</v>
      </c>
      <c r="G396" s="3" t="s">
        <v>577</v>
      </c>
      <c r="H396" s="3" t="s">
        <v>30</v>
      </c>
      <c r="I396" s="3" t="s">
        <v>61</v>
      </c>
      <c r="J396" s="3" t="s">
        <v>32</v>
      </c>
      <c r="K396" s="8">
        <v>43739.447916666664</v>
      </c>
      <c r="L396" s="8">
        <v>43613.164583333331</v>
      </c>
      <c r="M396" s="3">
        <v>0</v>
      </c>
      <c r="N396" s="3">
        <v>1</v>
      </c>
      <c r="O396" s="3" t="s">
        <v>58</v>
      </c>
      <c r="P396" s="10" t="s">
        <v>576</v>
      </c>
      <c r="Q396" s="3" t="s">
        <v>123</v>
      </c>
      <c r="R396" s="3">
        <v>7</v>
      </c>
      <c r="S396" s="3">
        <v>0</v>
      </c>
      <c r="T396" s="10" t="s">
        <v>576</v>
      </c>
      <c r="U396" s="10" t="s">
        <v>576</v>
      </c>
      <c r="V396" s="3" t="s">
        <v>37</v>
      </c>
      <c r="W396" s="11" cm="1">
        <f t="array" ref="W396">IF(H396="Request","No SLA for Request", IF(F396="Emergency",B396+(4/24), WORKDAY(B396, _xlfn.IFS(F396="High", 3, F396="Normal", 5, F396="Low", 10))))</f>
        <v>43619</v>
      </c>
      <c r="X396" t="str">
        <f t="shared" si="6"/>
        <v>Yes</v>
      </c>
    </row>
    <row r="397" spans="1:24" ht="12.75" x14ac:dyDescent="0.2">
      <c r="A397" s="3">
        <v>111310</v>
      </c>
      <c r="B397" s="8">
        <v>43735.347222222219</v>
      </c>
      <c r="C397" s="3" t="s">
        <v>466</v>
      </c>
      <c r="D397" s="3" t="s">
        <v>70</v>
      </c>
      <c r="E397" s="3" t="s">
        <v>71</v>
      </c>
      <c r="F397" s="3" t="s">
        <v>124</v>
      </c>
      <c r="G397" s="3" t="s">
        <v>29</v>
      </c>
      <c r="H397" s="3" t="s">
        <v>53</v>
      </c>
      <c r="I397" s="3" t="s">
        <v>31</v>
      </c>
      <c r="J397" s="3" t="s">
        <v>32</v>
      </c>
      <c r="K397" s="8">
        <v>43735.725694444445</v>
      </c>
      <c r="L397" s="8">
        <v>43735.708333333336</v>
      </c>
      <c r="M397" s="3">
        <v>0</v>
      </c>
      <c r="N397" s="3">
        <v>1</v>
      </c>
      <c r="O397" s="3" t="s">
        <v>33</v>
      </c>
      <c r="P397" s="10" t="s">
        <v>576</v>
      </c>
      <c r="Q397" s="3" t="s">
        <v>43</v>
      </c>
      <c r="R397" s="3">
        <v>6</v>
      </c>
      <c r="S397" s="3">
        <v>5</v>
      </c>
      <c r="T397" s="10" t="s">
        <v>576</v>
      </c>
      <c r="U397" s="10" t="s">
        <v>576</v>
      </c>
      <c r="V397" s="3" t="s">
        <v>37</v>
      </c>
      <c r="W397" s="11" t="str" cm="1">
        <f t="array" ref="W397">IF(H397="Request","No SLA for Request", IF(F397="Emergency",B397+(4/24), WORKDAY(B397, _xlfn.IFS(F397="High", 3, F397="Normal", 5, F397="Low", 10))))</f>
        <v>No SLA for Request</v>
      </c>
      <c r="X397" t="str">
        <f t="shared" si="6"/>
        <v>N/A</v>
      </c>
    </row>
    <row r="398" spans="1:24" ht="12.75" x14ac:dyDescent="0.2">
      <c r="A398" s="3">
        <v>111307</v>
      </c>
      <c r="B398" s="8">
        <v>43733.573611111111</v>
      </c>
      <c r="C398" s="3" t="s">
        <v>467</v>
      </c>
      <c r="D398" s="3" t="s">
        <v>70</v>
      </c>
      <c r="E398" s="3" t="s">
        <v>71</v>
      </c>
      <c r="F398" s="3" t="s">
        <v>124</v>
      </c>
      <c r="G398" s="3" t="s">
        <v>29</v>
      </c>
      <c r="H398" s="3" t="s">
        <v>30</v>
      </c>
      <c r="I398" s="3" t="s">
        <v>31</v>
      </c>
      <c r="J398" s="3" t="s">
        <v>32</v>
      </c>
      <c r="K398" s="8">
        <v>43735.342361111114</v>
      </c>
      <c r="L398" s="8">
        <v>43734.708333333336</v>
      </c>
      <c r="M398" s="3">
        <v>0</v>
      </c>
      <c r="N398" s="3">
        <v>1</v>
      </c>
      <c r="O398" s="3" t="s">
        <v>33</v>
      </c>
      <c r="P398" s="10" t="s">
        <v>576</v>
      </c>
      <c r="Q398" s="3" t="s">
        <v>43</v>
      </c>
      <c r="R398" s="3">
        <v>9</v>
      </c>
      <c r="S398" s="3">
        <v>5</v>
      </c>
      <c r="T398" s="10" t="s">
        <v>576</v>
      </c>
      <c r="U398" s="10" t="s">
        <v>576</v>
      </c>
      <c r="V398" s="3" t="s">
        <v>37</v>
      </c>
      <c r="W398" s="11" cm="1">
        <f t="array" ref="W398">IF(H398="Request","No SLA for Request", IF(F398="Emergency",B398+(4/24), WORKDAY(B398, _xlfn.IFS(F398="High", 3, F398="Normal", 5, F398="Low", 10))))</f>
        <v>43740</v>
      </c>
      <c r="X398" t="str">
        <f t="shared" si="6"/>
        <v>No</v>
      </c>
    </row>
    <row r="399" spans="1:24" ht="12.75" x14ac:dyDescent="0.2">
      <c r="A399" s="3">
        <v>111304</v>
      </c>
      <c r="B399" s="8">
        <v>43728.472916666666</v>
      </c>
      <c r="C399" s="3" t="s">
        <v>468</v>
      </c>
      <c r="D399" s="3" t="s">
        <v>603</v>
      </c>
      <c r="E399" s="3" t="s">
        <v>604</v>
      </c>
      <c r="F399" s="3" t="s">
        <v>124</v>
      </c>
      <c r="G399" s="3" t="s">
        <v>29</v>
      </c>
      <c r="H399" s="3" t="s">
        <v>53</v>
      </c>
      <c r="I399" s="3" t="s">
        <v>31</v>
      </c>
      <c r="J399" s="3" t="s">
        <v>32</v>
      </c>
      <c r="K399" s="8">
        <v>43734.70208333333</v>
      </c>
      <c r="L399" s="8">
        <v>43728.972916666666</v>
      </c>
      <c r="M399" s="3">
        <v>0</v>
      </c>
      <c r="N399" s="3">
        <v>1</v>
      </c>
      <c r="O399" s="3" t="s">
        <v>33</v>
      </c>
      <c r="P399" s="10" t="s">
        <v>576</v>
      </c>
      <c r="Q399" s="3" t="s">
        <v>34</v>
      </c>
      <c r="R399" s="3">
        <v>6</v>
      </c>
      <c r="S399" s="3">
        <v>0</v>
      </c>
      <c r="T399" s="10" t="s">
        <v>576</v>
      </c>
      <c r="U399" s="10" t="s">
        <v>576</v>
      </c>
      <c r="V399" s="3" t="s">
        <v>37</v>
      </c>
      <c r="W399" s="11" t="str" cm="1">
        <f t="array" ref="W399">IF(H399="Request","No SLA for Request", IF(F399="Emergency",B399+(4/24), WORKDAY(B399, _xlfn.IFS(F399="High", 3, F399="Normal", 5, F399="Low", 10))))</f>
        <v>No SLA for Request</v>
      </c>
      <c r="X399" t="str">
        <f t="shared" si="6"/>
        <v>N/A</v>
      </c>
    </row>
    <row r="400" spans="1:24" ht="12.75" x14ac:dyDescent="0.2">
      <c r="A400" s="3">
        <v>111302</v>
      </c>
      <c r="B400" s="8">
        <v>43725.7</v>
      </c>
      <c r="C400" s="3" t="s">
        <v>643</v>
      </c>
      <c r="D400" s="3" t="s">
        <v>63</v>
      </c>
      <c r="E400" s="3" t="s">
        <v>64</v>
      </c>
      <c r="F400" s="3" t="s">
        <v>124</v>
      </c>
      <c r="G400" s="3" t="s">
        <v>29</v>
      </c>
      <c r="H400" s="3" t="s">
        <v>30</v>
      </c>
      <c r="I400" s="3" t="s">
        <v>31</v>
      </c>
      <c r="J400" s="3" t="s">
        <v>32</v>
      </c>
      <c r="K400" s="8">
        <v>43728.443749999999</v>
      </c>
      <c r="L400" s="8">
        <v>43726.2</v>
      </c>
      <c r="M400" s="3">
        <v>0</v>
      </c>
      <c r="N400" s="3">
        <v>1</v>
      </c>
      <c r="O400" s="3" t="s">
        <v>33</v>
      </c>
      <c r="P400" s="10" t="s">
        <v>576</v>
      </c>
      <c r="Q400" s="3" t="s">
        <v>34</v>
      </c>
      <c r="R400" s="3">
        <v>8</v>
      </c>
      <c r="S400" s="3">
        <v>2</v>
      </c>
      <c r="T400" s="10" t="s">
        <v>576</v>
      </c>
      <c r="U400" s="10" t="s">
        <v>576</v>
      </c>
      <c r="V400" s="3" t="s">
        <v>48</v>
      </c>
      <c r="W400" s="11" cm="1">
        <f t="array" ref="W400">IF(H400="Request","No SLA for Request", IF(F400="Emergency",B400+(4/24), WORKDAY(B400, _xlfn.IFS(F400="High", 3, F400="Normal", 5, F400="Low", 10))))</f>
        <v>43732</v>
      </c>
      <c r="X400" t="str">
        <f t="shared" si="6"/>
        <v>No</v>
      </c>
    </row>
    <row r="401" spans="1:24" ht="12.75" x14ac:dyDescent="0.2">
      <c r="A401" s="3">
        <v>111300</v>
      </c>
      <c r="B401" s="8">
        <v>43719.771527777775</v>
      </c>
      <c r="C401" s="3" t="s">
        <v>469</v>
      </c>
      <c r="D401" s="3" t="s">
        <v>47</v>
      </c>
      <c r="E401" s="3" t="s">
        <v>578</v>
      </c>
      <c r="F401" s="3" t="s">
        <v>124</v>
      </c>
      <c r="G401" s="3" t="s">
        <v>29</v>
      </c>
      <c r="H401" s="3" t="s">
        <v>30</v>
      </c>
      <c r="I401" s="3" t="s">
        <v>31</v>
      </c>
      <c r="J401" s="3" t="s">
        <v>32</v>
      </c>
      <c r="K401" s="8">
        <v>43728.345833333333</v>
      </c>
      <c r="L401" s="8">
        <v>43724.708333333336</v>
      </c>
      <c r="M401" s="3">
        <v>0</v>
      </c>
      <c r="N401" s="3">
        <v>1</v>
      </c>
      <c r="O401" s="3" t="s">
        <v>33</v>
      </c>
      <c r="P401" s="10" t="s">
        <v>576</v>
      </c>
      <c r="Q401" s="3" t="s">
        <v>43</v>
      </c>
      <c r="R401" s="3">
        <v>13</v>
      </c>
      <c r="S401" s="3">
        <v>5</v>
      </c>
      <c r="T401" s="10" t="s">
        <v>576</v>
      </c>
      <c r="U401" s="10" t="s">
        <v>576</v>
      </c>
      <c r="V401" s="3" t="s">
        <v>37</v>
      </c>
      <c r="W401" s="11" cm="1">
        <f t="array" ref="W401">IF(H401="Request","No SLA for Request", IF(F401="Emergency",B401+(4/24), WORKDAY(B401, _xlfn.IFS(F401="High", 3, F401="Normal", 5, F401="Low", 10))))</f>
        <v>43726</v>
      </c>
      <c r="X401" t="str">
        <f t="shared" si="6"/>
        <v>Yes</v>
      </c>
    </row>
    <row r="402" spans="1:24" ht="12.75" x14ac:dyDescent="0.2">
      <c r="A402" s="3">
        <v>111294</v>
      </c>
      <c r="B402" s="8">
        <v>43710.398611111108</v>
      </c>
      <c r="C402" s="3" t="s">
        <v>470</v>
      </c>
      <c r="D402" s="3" t="s">
        <v>78</v>
      </c>
      <c r="E402" s="3" t="s">
        <v>79</v>
      </c>
      <c r="F402" s="3" t="s">
        <v>124</v>
      </c>
      <c r="G402" s="3" t="s">
        <v>29</v>
      </c>
      <c r="H402" s="3" t="s">
        <v>30</v>
      </c>
      <c r="I402" s="3" t="s">
        <v>31</v>
      </c>
      <c r="J402" s="3" t="s">
        <v>32</v>
      </c>
      <c r="K402" s="8">
        <v>43726.72152777778</v>
      </c>
      <c r="L402" s="8">
        <v>43721.708333333336</v>
      </c>
      <c r="M402" s="3">
        <v>0</v>
      </c>
      <c r="N402" s="3">
        <v>1</v>
      </c>
      <c r="O402" s="3" t="s">
        <v>33</v>
      </c>
      <c r="P402" s="10" t="s">
        <v>576</v>
      </c>
      <c r="Q402" s="3" t="s">
        <v>43</v>
      </c>
      <c r="R402" s="3">
        <v>20</v>
      </c>
      <c r="S402" s="3">
        <v>5</v>
      </c>
      <c r="T402" s="10" t="s">
        <v>576</v>
      </c>
      <c r="U402" s="10" t="s">
        <v>576</v>
      </c>
      <c r="V402" s="3" t="s">
        <v>37</v>
      </c>
      <c r="W402" s="11" cm="1">
        <f t="array" ref="W402">IF(H402="Request","No SLA for Request", IF(F402="Emergency",B402+(4/24), WORKDAY(B402, _xlfn.IFS(F402="High", 3, F402="Normal", 5, F402="Low", 10))))</f>
        <v>43717</v>
      </c>
      <c r="X402" t="str">
        <f t="shared" si="6"/>
        <v>Yes</v>
      </c>
    </row>
    <row r="403" spans="1:24" ht="12.75" x14ac:dyDescent="0.2">
      <c r="A403" s="3">
        <v>111298</v>
      </c>
      <c r="B403" s="8">
        <v>43717.716666666667</v>
      </c>
      <c r="C403" s="3" t="s">
        <v>644</v>
      </c>
      <c r="D403" s="3" t="s">
        <v>603</v>
      </c>
      <c r="E403" s="3" t="s">
        <v>604</v>
      </c>
      <c r="F403" s="3" t="s">
        <v>124</v>
      </c>
      <c r="G403" s="3" t="s">
        <v>29</v>
      </c>
      <c r="H403" s="3" t="s">
        <v>30</v>
      </c>
      <c r="I403" s="3" t="s">
        <v>31</v>
      </c>
      <c r="J403" s="3" t="s">
        <v>32</v>
      </c>
      <c r="K403" s="8">
        <v>43725.708333333336</v>
      </c>
      <c r="L403" s="8">
        <v>43718.216666666667</v>
      </c>
      <c r="M403" s="3">
        <v>0</v>
      </c>
      <c r="N403" s="3">
        <v>1</v>
      </c>
      <c r="O403" s="3" t="s">
        <v>33</v>
      </c>
      <c r="P403" s="10" t="s">
        <v>576</v>
      </c>
      <c r="Q403" s="3" t="s">
        <v>43</v>
      </c>
      <c r="R403" s="3">
        <v>10</v>
      </c>
      <c r="S403" s="3">
        <v>2</v>
      </c>
      <c r="T403" s="10" t="s">
        <v>576</v>
      </c>
      <c r="U403" s="10" t="s">
        <v>576</v>
      </c>
      <c r="V403" s="3" t="s">
        <v>37</v>
      </c>
      <c r="W403" s="11" cm="1">
        <f t="array" ref="W403">IF(H403="Request","No SLA for Request", IF(F403="Emergency",B403+(4/24), WORKDAY(B403, _xlfn.IFS(F403="High", 3, F403="Normal", 5, F403="Low", 10))))</f>
        <v>43724</v>
      </c>
      <c r="X403" t="str">
        <f t="shared" si="6"/>
        <v>Yes</v>
      </c>
    </row>
    <row r="404" spans="1:24" ht="12.75" x14ac:dyDescent="0.2">
      <c r="A404" s="3">
        <v>111153</v>
      </c>
      <c r="B404" s="8">
        <v>43544.65902777778</v>
      </c>
      <c r="C404" s="3" t="s">
        <v>471</v>
      </c>
      <c r="D404" s="3" t="s">
        <v>26</v>
      </c>
      <c r="E404" s="3" t="s">
        <v>27</v>
      </c>
      <c r="F404" s="3" t="s">
        <v>124</v>
      </c>
      <c r="G404" s="3" t="s">
        <v>29</v>
      </c>
      <c r="H404" s="3" t="s">
        <v>30</v>
      </c>
      <c r="I404" s="3" t="s">
        <v>31</v>
      </c>
      <c r="J404" s="3" t="s">
        <v>32</v>
      </c>
      <c r="K404" s="8">
        <v>43719.725694444445</v>
      </c>
      <c r="L404" s="12" t="s">
        <v>576</v>
      </c>
      <c r="M404" s="3">
        <v>0</v>
      </c>
      <c r="N404" s="3">
        <v>1</v>
      </c>
      <c r="O404" s="3" t="s">
        <v>33</v>
      </c>
      <c r="P404" s="10" t="s">
        <v>576</v>
      </c>
      <c r="Q404" s="3" t="s">
        <v>34</v>
      </c>
      <c r="R404" s="3">
        <v>35</v>
      </c>
      <c r="S404" s="3">
        <v>8</v>
      </c>
      <c r="T404" s="10" t="s">
        <v>576</v>
      </c>
      <c r="U404" s="10" t="s">
        <v>576</v>
      </c>
      <c r="V404" s="3" t="s">
        <v>37</v>
      </c>
      <c r="W404" s="11" cm="1">
        <f t="array" ref="W404">IF(H404="Request","No SLA for Request", IF(F404="Emergency",B404+(4/24), WORKDAY(B404, _xlfn.IFS(F404="High", 3, F404="Normal", 5, F404="Low", 10))))</f>
        <v>43551</v>
      </c>
      <c r="X404" t="str">
        <f t="shared" si="6"/>
        <v>Yes</v>
      </c>
    </row>
    <row r="405" spans="1:24" ht="12.75" x14ac:dyDescent="0.2">
      <c r="A405" s="3">
        <v>111150</v>
      </c>
      <c r="B405" s="8">
        <v>43544.554166666669</v>
      </c>
      <c r="C405" s="3" t="s">
        <v>171</v>
      </c>
      <c r="D405" s="3" t="s">
        <v>49</v>
      </c>
      <c r="E405" s="3" t="s">
        <v>50</v>
      </c>
      <c r="F405" s="3" t="s">
        <v>124</v>
      </c>
      <c r="G405" s="3" t="s">
        <v>29</v>
      </c>
      <c r="H405" s="3" t="s">
        <v>30</v>
      </c>
      <c r="I405" s="3" t="s">
        <v>31</v>
      </c>
      <c r="J405" s="3" t="s">
        <v>32</v>
      </c>
      <c r="K405" s="8">
        <v>43719.725694444445</v>
      </c>
      <c r="L405" s="12" t="s">
        <v>576</v>
      </c>
      <c r="M405" s="3">
        <v>0</v>
      </c>
      <c r="N405" s="3">
        <v>1</v>
      </c>
      <c r="O405" s="3" t="s">
        <v>33</v>
      </c>
      <c r="P405" s="10" t="s">
        <v>576</v>
      </c>
      <c r="Q405" s="3" t="s">
        <v>34</v>
      </c>
      <c r="R405" s="3">
        <v>26</v>
      </c>
      <c r="S405" s="3">
        <v>6</v>
      </c>
      <c r="T405" s="10" t="s">
        <v>576</v>
      </c>
      <c r="U405" s="10" t="s">
        <v>576</v>
      </c>
      <c r="V405" s="3" t="s">
        <v>48</v>
      </c>
      <c r="W405" s="11" cm="1">
        <f t="array" ref="W405">IF(H405="Request","No SLA for Request", IF(F405="Emergency",B405+(4/24), WORKDAY(B405, _xlfn.IFS(F405="High", 3, F405="Normal", 5, F405="Low", 10))))</f>
        <v>43551</v>
      </c>
      <c r="X405" t="str">
        <f t="shared" si="6"/>
        <v>Yes</v>
      </c>
    </row>
    <row r="406" spans="1:24" ht="12.75" x14ac:dyDescent="0.2">
      <c r="A406" s="3">
        <v>111259</v>
      </c>
      <c r="B406" s="8">
        <v>43661.503472222219</v>
      </c>
      <c r="C406" s="3" t="s">
        <v>172</v>
      </c>
      <c r="D406" s="3" t="s">
        <v>26</v>
      </c>
      <c r="E406" s="3" t="s">
        <v>27</v>
      </c>
      <c r="F406" s="3" t="s">
        <v>124</v>
      </c>
      <c r="G406" s="3" t="s">
        <v>29</v>
      </c>
      <c r="H406" s="3" t="s">
        <v>30</v>
      </c>
      <c r="I406" s="3" t="s">
        <v>31</v>
      </c>
      <c r="J406" s="3" t="s">
        <v>32</v>
      </c>
      <c r="K406" s="8">
        <v>43719.724999999999</v>
      </c>
      <c r="L406" s="12" t="s">
        <v>576</v>
      </c>
      <c r="M406" s="3">
        <v>0</v>
      </c>
      <c r="N406" s="3">
        <v>1</v>
      </c>
      <c r="O406" s="3" t="s">
        <v>33</v>
      </c>
      <c r="P406" s="10" t="s">
        <v>576</v>
      </c>
      <c r="Q406" s="3" t="s">
        <v>34</v>
      </c>
      <c r="R406" s="3">
        <v>11</v>
      </c>
      <c r="S406" s="3">
        <v>4</v>
      </c>
      <c r="T406" s="10" t="s">
        <v>576</v>
      </c>
      <c r="U406" s="10" t="s">
        <v>576</v>
      </c>
      <c r="V406" s="3" t="s">
        <v>48</v>
      </c>
      <c r="W406" s="11" cm="1">
        <f t="array" ref="W406">IF(H406="Request","No SLA for Request", IF(F406="Emergency",B406+(4/24), WORKDAY(B406, _xlfn.IFS(F406="High", 3, F406="Normal", 5, F406="Low", 10))))</f>
        <v>43668</v>
      </c>
      <c r="X406" t="str">
        <f t="shared" si="6"/>
        <v>Yes</v>
      </c>
    </row>
    <row r="407" spans="1:24" ht="12.75" x14ac:dyDescent="0.2">
      <c r="A407" s="3">
        <v>111214</v>
      </c>
      <c r="B407" s="8">
        <v>43613.597916666666</v>
      </c>
      <c r="C407" s="3" t="s">
        <v>472</v>
      </c>
      <c r="D407" s="3" t="s">
        <v>78</v>
      </c>
      <c r="E407" s="3" t="s">
        <v>79</v>
      </c>
      <c r="F407" s="3" t="s">
        <v>124</v>
      </c>
      <c r="G407" s="3" t="s">
        <v>29</v>
      </c>
      <c r="H407" s="3" t="s">
        <v>30</v>
      </c>
      <c r="I407" s="3" t="s">
        <v>31</v>
      </c>
      <c r="J407" s="3" t="s">
        <v>32</v>
      </c>
      <c r="K407" s="8">
        <v>43717.524305555555</v>
      </c>
      <c r="L407" s="8">
        <v>43714.708333333336</v>
      </c>
      <c r="M407" s="3">
        <v>0</v>
      </c>
      <c r="N407" s="3">
        <v>1</v>
      </c>
      <c r="O407" s="3" t="s">
        <v>33</v>
      </c>
      <c r="P407" s="10" t="s">
        <v>576</v>
      </c>
      <c r="Q407" s="3" t="s">
        <v>43</v>
      </c>
      <c r="R407" s="3">
        <v>17</v>
      </c>
      <c r="S407" s="3">
        <v>5</v>
      </c>
      <c r="T407" s="10" t="s">
        <v>576</v>
      </c>
      <c r="U407" s="10" t="s">
        <v>576</v>
      </c>
      <c r="V407" s="3" t="s">
        <v>37</v>
      </c>
      <c r="W407" s="11" cm="1">
        <f t="array" ref="W407">IF(H407="Request","No SLA for Request", IF(F407="Emergency",B407+(4/24), WORKDAY(B407, _xlfn.IFS(F407="High", 3, F407="Normal", 5, F407="Low", 10))))</f>
        <v>43620</v>
      </c>
      <c r="X407" t="str">
        <f t="shared" si="6"/>
        <v>Yes</v>
      </c>
    </row>
    <row r="408" spans="1:24" ht="12.75" x14ac:dyDescent="0.2">
      <c r="A408" s="3">
        <v>111189</v>
      </c>
      <c r="B408" s="8">
        <v>43585.59652777778</v>
      </c>
      <c r="C408" s="3" t="s">
        <v>473</v>
      </c>
      <c r="D408" s="3" t="s">
        <v>103</v>
      </c>
      <c r="E408" s="3" t="s">
        <v>104</v>
      </c>
      <c r="F408" s="3" t="s">
        <v>124</v>
      </c>
      <c r="G408" s="3" t="s">
        <v>29</v>
      </c>
      <c r="H408" s="3" t="s">
        <v>53</v>
      </c>
      <c r="I408" s="3" t="s">
        <v>31</v>
      </c>
      <c r="J408" s="3" t="s">
        <v>32</v>
      </c>
      <c r="K408" s="8">
        <v>43714.726388888892</v>
      </c>
      <c r="L408" s="8">
        <v>43586.09652777778</v>
      </c>
      <c r="M408" s="3">
        <v>0</v>
      </c>
      <c r="N408" s="3">
        <v>1</v>
      </c>
      <c r="O408" s="3" t="s">
        <v>33</v>
      </c>
      <c r="P408" s="10" t="s">
        <v>576</v>
      </c>
      <c r="Q408" s="3" t="s">
        <v>43</v>
      </c>
      <c r="R408" s="3">
        <v>20</v>
      </c>
      <c r="S408" s="3">
        <v>1</v>
      </c>
      <c r="T408" s="10" t="s">
        <v>576</v>
      </c>
      <c r="U408" s="10" t="s">
        <v>576</v>
      </c>
      <c r="V408" s="3" t="s">
        <v>37</v>
      </c>
      <c r="W408" s="11" t="str" cm="1">
        <f t="array" ref="W408">IF(H408="Request","No SLA for Request", IF(F408="Emergency",B408+(4/24), WORKDAY(B408, _xlfn.IFS(F408="High", 3, F408="Normal", 5, F408="Low", 10))))</f>
        <v>No SLA for Request</v>
      </c>
      <c r="X408" t="str">
        <f t="shared" si="6"/>
        <v>N/A</v>
      </c>
    </row>
    <row r="409" spans="1:24" ht="12.75" x14ac:dyDescent="0.2">
      <c r="A409" s="3">
        <v>111233</v>
      </c>
      <c r="B409" s="8">
        <v>43633.438888888886</v>
      </c>
      <c r="C409" s="3" t="s">
        <v>474</v>
      </c>
      <c r="D409" s="3" t="s">
        <v>78</v>
      </c>
      <c r="E409" s="3" t="s">
        <v>79</v>
      </c>
      <c r="F409" s="3" t="s">
        <v>124</v>
      </c>
      <c r="G409" s="3" t="s">
        <v>29</v>
      </c>
      <c r="H409" s="3" t="s">
        <v>30</v>
      </c>
      <c r="I409" s="3" t="s">
        <v>31</v>
      </c>
      <c r="J409" s="3" t="s">
        <v>32</v>
      </c>
      <c r="K409" s="8">
        <v>43712.42083333333</v>
      </c>
      <c r="L409" s="12" t="s">
        <v>576</v>
      </c>
      <c r="M409" s="3">
        <v>0</v>
      </c>
      <c r="N409" s="3">
        <v>1</v>
      </c>
      <c r="O409" s="3" t="s">
        <v>33</v>
      </c>
      <c r="P409" s="10" t="s">
        <v>576</v>
      </c>
      <c r="Q409" s="3" t="s">
        <v>43</v>
      </c>
      <c r="R409" s="3">
        <v>10</v>
      </c>
      <c r="S409" s="3">
        <v>2</v>
      </c>
      <c r="T409" s="10" t="s">
        <v>576</v>
      </c>
      <c r="U409" s="10" t="s">
        <v>576</v>
      </c>
      <c r="V409" s="3" t="s">
        <v>48</v>
      </c>
      <c r="W409" s="11" cm="1">
        <f t="array" ref="W409">IF(H409="Request","No SLA for Request", IF(F409="Emergency",B409+(4/24), WORKDAY(B409, _xlfn.IFS(F409="High", 3, F409="Normal", 5, F409="Low", 10))))</f>
        <v>43640</v>
      </c>
      <c r="X409" t="str">
        <f t="shared" si="6"/>
        <v>Yes</v>
      </c>
    </row>
    <row r="410" spans="1:24" ht="12.75" x14ac:dyDescent="0.2">
      <c r="A410" s="3">
        <v>111253</v>
      </c>
      <c r="B410" s="8">
        <v>43654.692361111112</v>
      </c>
      <c r="C410" s="3" t="s">
        <v>475</v>
      </c>
      <c r="D410" s="3" t="s">
        <v>78</v>
      </c>
      <c r="E410" s="3" t="s">
        <v>79</v>
      </c>
      <c r="F410" s="3" t="s">
        <v>124</v>
      </c>
      <c r="G410" s="3" t="s">
        <v>29</v>
      </c>
      <c r="H410" s="3" t="s">
        <v>30</v>
      </c>
      <c r="I410" s="3" t="s">
        <v>31</v>
      </c>
      <c r="J410" s="3" t="s">
        <v>32</v>
      </c>
      <c r="K410" s="8">
        <v>43712.40347222222</v>
      </c>
      <c r="L410" s="12" t="s">
        <v>576</v>
      </c>
      <c r="M410" s="3">
        <v>0</v>
      </c>
      <c r="N410" s="3">
        <v>1</v>
      </c>
      <c r="O410" s="3" t="s">
        <v>33</v>
      </c>
      <c r="P410" s="10" t="s">
        <v>576</v>
      </c>
      <c r="Q410" s="3" t="s">
        <v>43</v>
      </c>
      <c r="R410" s="3">
        <v>31</v>
      </c>
      <c r="S410" s="3">
        <v>10</v>
      </c>
      <c r="T410" s="10" t="s">
        <v>576</v>
      </c>
      <c r="U410" s="10" t="s">
        <v>576</v>
      </c>
      <c r="V410" s="3" t="s">
        <v>37</v>
      </c>
      <c r="W410" s="11" cm="1">
        <f t="array" ref="W410">IF(H410="Request","No SLA for Request", IF(F410="Emergency",B410+(4/24), WORKDAY(B410, _xlfn.IFS(F410="High", 3, F410="Normal", 5, F410="Low", 10))))</f>
        <v>43661</v>
      </c>
      <c r="X410" t="str">
        <f t="shared" si="6"/>
        <v>Yes</v>
      </c>
    </row>
    <row r="411" spans="1:24" ht="12.75" x14ac:dyDescent="0.2">
      <c r="A411" s="3">
        <v>111290</v>
      </c>
      <c r="B411" s="8">
        <v>43700.676388888889</v>
      </c>
      <c r="C411" s="3" t="s">
        <v>476</v>
      </c>
      <c r="D411" s="3" t="s">
        <v>96</v>
      </c>
      <c r="E411" s="3" t="s">
        <v>97</v>
      </c>
      <c r="F411" s="3" t="s">
        <v>124</v>
      </c>
      <c r="G411" s="3" t="s">
        <v>29</v>
      </c>
      <c r="H411" s="3" t="s">
        <v>30</v>
      </c>
      <c r="I411" s="3" t="s">
        <v>31</v>
      </c>
      <c r="J411" s="3" t="s">
        <v>32</v>
      </c>
      <c r="K411" s="8">
        <v>43711.741666666669</v>
      </c>
      <c r="L411" s="8">
        <v>43706.708333333336</v>
      </c>
      <c r="M411" s="3">
        <v>0</v>
      </c>
      <c r="N411" s="3">
        <v>1</v>
      </c>
      <c r="O411" s="3" t="s">
        <v>33</v>
      </c>
      <c r="P411" s="10" t="s">
        <v>576</v>
      </c>
      <c r="Q411" s="3" t="s">
        <v>43</v>
      </c>
      <c r="R411" s="3">
        <v>13</v>
      </c>
      <c r="S411" s="3">
        <v>4</v>
      </c>
      <c r="T411" s="10" t="s">
        <v>576</v>
      </c>
      <c r="U411" s="10" t="s">
        <v>576</v>
      </c>
      <c r="V411" s="3" t="s">
        <v>37</v>
      </c>
      <c r="W411" s="11" cm="1">
        <f t="array" ref="W411">IF(H411="Request","No SLA for Request", IF(F411="Emergency",B411+(4/24), WORKDAY(B411, _xlfn.IFS(F411="High", 3, F411="Normal", 5, F411="Low", 10))))</f>
        <v>43707</v>
      </c>
      <c r="X411" t="str">
        <f t="shared" si="6"/>
        <v>Yes</v>
      </c>
    </row>
    <row r="412" spans="1:24" ht="12.75" x14ac:dyDescent="0.2">
      <c r="A412" s="3">
        <v>111172</v>
      </c>
      <c r="B412" s="8">
        <v>43563.387499999997</v>
      </c>
      <c r="C412" s="3" t="s">
        <v>477</v>
      </c>
      <c r="D412" s="3" t="s">
        <v>78</v>
      </c>
      <c r="E412" s="3" t="s">
        <v>79</v>
      </c>
      <c r="F412" s="3" t="s">
        <v>124</v>
      </c>
      <c r="G412" s="3" t="s">
        <v>29</v>
      </c>
      <c r="H412" s="3" t="s">
        <v>30</v>
      </c>
      <c r="I412" s="3" t="s">
        <v>31</v>
      </c>
      <c r="J412" s="3" t="s">
        <v>32</v>
      </c>
      <c r="K412" s="8">
        <v>43711.729861111111</v>
      </c>
      <c r="L412" s="12" t="s">
        <v>576</v>
      </c>
      <c r="M412" s="3">
        <v>0</v>
      </c>
      <c r="N412" s="3">
        <v>1</v>
      </c>
      <c r="O412" s="3" t="s">
        <v>33</v>
      </c>
      <c r="P412" s="10" t="s">
        <v>576</v>
      </c>
      <c r="Q412" s="3" t="s">
        <v>43</v>
      </c>
      <c r="R412" s="3">
        <v>21</v>
      </c>
      <c r="S412" s="3">
        <v>4</v>
      </c>
      <c r="T412" s="10" t="s">
        <v>576</v>
      </c>
      <c r="U412" s="10" t="s">
        <v>576</v>
      </c>
      <c r="V412" s="3" t="s">
        <v>48</v>
      </c>
      <c r="W412" s="11" cm="1">
        <f t="array" ref="W412">IF(H412="Request","No SLA for Request", IF(F412="Emergency",B412+(4/24), WORKDAY(B412, _xlfn.IFS(F412="High", 3, F412="Normal", 5, F412="Low", 10))))</f>
        <v>43570</v>
      </c>
      <c r="X412" t="str">
        <f t="shared" si="6"/>
        <v>Yes</v>
      </c>
    </row>
    <row r="413" spans="1:24" ht="12.75" x14ac:dyDescent="0.2">
      <c r="A413" s="3">
        <v>111280</v>
      </c>
      <c r="B413" s="8">
        <v>43678.662499999999</v>
      </c>
      <c r="C413" s="3" t="s">
        <v>173</v>
      </c>
      <c r="D413" s="3" t="s">
        <v>78</v>
      </c>
      <c r="E413" s="3" t="s">
        <v>79</v>
      </c>
      <c r="F413" s="3" t="s">
        <v>124</v>
      </c>
      <c r="G413" s="3" t="s">
        <v>29</v>
      </c>
      <c r="H413" s="3" t="s">
        <v>53</v>
      </c>
      <c r="I413" s="3" t="s">
        <v>31</v>
      </c>
      <c r="J413" s="3" t="s">
        <v>32</v>
      </c>
      <c r="K413" s="8">
        <v>43710.729166666664</v>
      </c>
      <c r="L413" s="8">
        <v>43679.162499999999</v>
      </c>
      <c r="M413" s="3">
        <v>0</v>
      </c>
      <c r="N413" s="3">
        <v>1</v>
      </c>
      <c r="O413" s="3" t="s">
        <v>33</v>
      </c>
      <c r="P413" s="10" t="s">
        <v>576</v>
      </c>
      <c r="Q413" s="3" t="s">
        <v>43</v>
      </c>
      <c r="R413" s="3">
        <v>9</v>
      </c>
      <c r="S413" s="3">
        <v>0</v>
      </c>
      <c r="T413" s="10" t="s">
        <v>576</v>
      </c>
      <c r="U413" s="10" t="s">
        <v>576</v>
      </c>
      <c r="V413" s="3" t="s">
        <v>37</v>
      </c>
      <c r="W413" s="11" t="str" cm="1">
        <f t="array" ref="W413">IF(H413="Request","No SLA for Request", IF(F413="Emergency",B413+(4/24), WORKDAY(B413, _xlfn.IFS(F413="High", 3, F413="Normal", 5, F413="Low", 10))))</f>
        <v>No SLA for Request</v>
      </c>
      <c r="X413" t="str">
        <f t="shared" si="6"/>
        <v>N/A</v>
      </c>
    </row>
    <row r="414" spans="1:24" ht="12.75" x14ac:dyDescent="0.2">
      <c r="A414" s="3">
        <v>111293</v>
      </c>
      <c r="B414" s="8">
        <v>43707.368750000001</v>
      </c>
      <c r="C414" s="3" t="s">
        <v>478</v>
      </c>
      <c r="D414" s="3" t="s">
        <v>70</v>
      </c>
      <c r="E414" s="3" t="s">
        <v>71</v>
      </c>
      <c r="F414" s="3" t="s">
        <v>124</v>
      </c>
      <c r="G414" s="3" t="s">
        <v>29</v>
      </c>
      <c r="H414" s="3" t="s">
        <v>53</v>
      </c>
      <c r="I414" s="3" t="s">
        <v>31</v>
      </c>
      <c r="J414" s="3" t="s">
        <v>32</v>
      </c>
      <c r="K414" s="8">
        <v>43707.612500000003</v>
      </c>
      <c r="L414" s="8">
        <v>43707.708333333336</v>
      </c>
      <c r="M414" s="3">
        <v>0</v>
      </c>
      <c r="N414" s="3">
        <v>1</v>
      </c>
      <c r="O414" s="3" t="s">
        <v>33</v>
      </c>
      <c r="P414" s="10" t="s">
        <v>576</v>
      </c>
      <c r="Q414" s="3" t="s">
        <v>43</v>
      </c>
      <c r="R414" s="3">
        <v>5</v>
      </c>
      <c r="S414" s="3">
        <v>0</v>
      </c>
      <c r="T414" s="10" t="s">
        <v>576</v>
      </c>
      <c r="U414" s="10" t="s">
        <v>576</v>
      </c>
      <c r="V414" s="3" t="s">
        <v>37</v>
      </c>
      <c r="W414" s="11" t="str" cm="1">
        <f t="array" ref="W414">IF(H414="Request","No SLA for Request", IF(F414="Emergency",B414+(4/24), WORKDAY(B414, _xlfn.IFS(F414="High", 3, F414="Normal", 5, F414="Low", 10))))</f>
        <v>No SLA for Request</v>
      </c>
      <c r="X414" t="str">
        <f t="shared" si="6"/>
        <v>N/A</v>
      </c>
    </row>
    <row r="415" spans="1:24" ht="12.75" x14ac:dyDescent="0.2">
      <c r="A415" s="3">
        <v>111262</v>
      </c>
      <c r="B415" s="8">
        <v>43662.47152777778</v>
      </c>
      <c r="C415" s="3" t="s">
        <v>479</v>
      </c>
      <c r="D415" s="3" t="s">
        <v>26</v>
      </c>
      <c r="E415" s="3" t="s">
        <v>27</v>
      </c>
      <c r="F415" s="3" t="s">
        <v>124</v>
      </c>
      <c r="G415" s="3" t="s">
        <v>29</v>
      </c>
      <c r="H415" s="3" t="s">
        <v>30</v>
      </c>
      <c r="I415" s="3" t="s">
        <v>31</v>
      </c>
      <c r="J415" s="3" t="s">
        <v>32</v>
      </c>
      <c r="K415" s="8">
        <v>43706.709722222222</v>
      </c>
      <c r="L415" s="8">
        <v>43662.97152777778</v>
      </c>
      <c r="M415" s="3">
        <v>0</v>
      </c>
      <c r="N415" s="3">
        <v>1</v>
      </c>
      <c r="O415" s="3" t="s">
        <v>33</v>
      </c>
      <c r="P415" s="10" t="s">
        <v>576</v>
      </c>
      <c r="Q415" s="3" t="s">
        <v>34</v>
      </c>
      <c r="R415" s="3">
        <v>23</v>
      </c>
      <c r="S415" s="3">
        <v>2</v>
      </c>
      <c r="T415" s="10" t="s">
        <v>576</v>
      </c>
      <c r="U415" s="10" t="s">
        <v>576</v>
      </c>
      <c r="V415" s="3" t="s">
        <v>37</v>
      </c>
      <c r="W415" s="11" cm="1">
        <f t="array" ref="W415">IF(H415="Request","No SLA for Request", IF(F415="Emergency",B415+(4/24), WORKDAY(B415, _xlfn.IFS(F415="High", 3, F415="Normal", 5, F415="Low", 10))))</f>
        <v>43669</v>
      </c>
      <c r="X415" t="str">
        <f t="shared" si="6"/>
        <v>Yes</v>
      </c>
    </row>
    <row r="416" spans="1:24" ht="12.75" x14ac:dyDescent="0.2">
      <c r="A416" s="3">
        <v>111207</v>
      </c>
      <c r="B416" s="8">
        <v>43607.422222222223</v>
      </c>
      <c r="C416" s="3" t="s">
        <v>480</v>
      </c>
      <c r="D416" s="3" t="s">
        <v>26</v>
      </c>
      <c r="E416" s="3" t="s">
        <v>27</v>
      </c>
      <c r="F416" s="3" t="s">
        <v>124</v>
      </c>
      <c r="G416" s="3" t="s">
        <v>29</v>
      </c>
      <c r="H416" s="3" t="s">
        <v>53</v>
      </c>
      <c r="I416" s="3" t="s">
        <v>31</v>
      </c>
      <c r="J416" s="3" t="s">
        <v>32</v>
      </c>
      <c r="K416" s="8">
        <v>43705.526388888888</v>
      </c>
      <c r="L416" s="12" t="s">
        <v>576</v>
      </c>
      <c r="M416" s="3">
        <v>0</v>
      </c>
      <c r="N416" s="3">
        <v>1</v>
      </c>
      <c r="O416" s="3" t="s">
        <v>33</v>
      </c>
      <c r="P416" s="10" t="s">
        <v>576</v>
      </c>
      <c r="Q416" s="3" t="s">
        <v>34</v>
      </c>
      <c r="R416" s="3">
        <v>39</v>
      </c>
      <c r="S416" s="3">
        <v>3</v>
      </c>
      <c r="T416" s="10" t="s">
        <v>576</v>
      </c>
      <c r="U416" s="10" t="s">
        <v>576</v>
      </c>
      <c r="V416" s="3" t="s">
        <v>48</v>
      </c>
      <c r="W416" s="11" t="str" cm="1">
        <f t="array" ref="W416">IF(H416="Request","No SLA for Request", IF(F416="Emergency",B416+(4/24), WORKDAY(B416, _xlfn.IFS(F416="High", 3, F416="Normal", 5, F416="Low", 10))))</f>
        <v>No SLA for Request</v>
      </c>
      <c r="X416" t="str">
        <f t="shared" si="6"/>
        <v>N/A</v>
      </c>
    </row>
    <row r="417" spans="1:24" ht="12.75" x14ac:dyDescent="0.2">
      <c r="A417" s="3">
        <v>111272</v>
      </c>
      <c r="B417" s="8">
        <v>43671.636805555558</v>
      </c>
      <c r="C417" s="3" t="s">
        <v>481</v>
      </c>
      <c r="D417" s="3" t="s">
        <v>70</v>
      </c>
      <c r="E417" s="3" t="s">
        <v>71</v>
      </c>
      <c r="F417" s="3" t="s">
        <v>124</v>
      </c>
      <c r="G417" s="3" t="s">
        <v>29</v>
      </c>
      <c r="H417" s="3" t="s">
        <v>30</v>
      </c>
      <c r="I417" s="3" t="s">
        <v>31</v>
      </c>
      <c r="J417" s="3" t="s">
        <v>32</v>
      </c>
      <c r="K417" s="8">
        <v>43704.714583333334</v>
      </c>
      <c r="L417" s="8">
        <v>43696.708333333336</v>
      </c>
      <c r="M417" s="3">
        <v>0</v>
      </c>
      <c r="N417" s="3">
        <v>1</v>
      </c>
      <c r="O417" s="3" t="s">
        <v>33</v>
      </c>
      <c r="P417" s="10" t="s">
        <v>576</v>
      </c>
      <c r="Q417" s="3" t="s">
        <v>43</v>
      </c>
      <c r="R417" s="3">
        <v>22</v>
      </c>
      <c r="S417" s="3">
        <v>8</v>
      </c>
      <c r="T417" s="10" t="s">
        <v>576</v>
      </c>
      <c r="U417" s="10" t="s">
        <v>576</v>
      </c>
      <c r="V417" s="3" t="s">
        <v>37</v>
      </c>
      <c r="W417" s="11" cm="1">
        <f t="array" ref="W417">IF(H417="Request","No SLA for Request", IF(F417="Emergency",B417+(4/24), WORKDAY(B417, _xlfn.IFS(F417="High", 3, F417="Normal", 5, F417="Low", 10))))</f>
        <v>43678</v>
      </c>
      <c r="X417" t="str">
        <f t="shared" si="6"/>
        <v>Yes</v>
      </c>
    </row>
    <row r="418" spans="1:24" ht="12.75" x14ac:dyDescent="0.2">
      <c r="A418" s="3">
        <v>111266</v>
      </c>
      <c r="B418" s="8">
        <v>43665.404166666667</v>
      </c>
      <c r="C418" s="3" t="s">
        <v>482</v>
      </c>
      <c r="D418" s="3" t="s">
        <v>70</v>
      </c>
      <c r="E418" s="3" t="s">
        <v>71</v>
      </c>
      <c r="F418" s="3" t="s">
        <v>124</v>
      </c>
      <c r="G418" s="3" t="s">
        <v>29</v>
      </c>
      <c r="H418" s="3" t="s">
        <v>30</v>
      </c>
      <c r="I418" s="3" t="s">
        <v>31</v>
      </c>
      <c r="J418" s="3" t="s">
        <v>32</v>
      </c>
      <c r="K418" s="8">
        <v>43704.713194444441</v>
      </c>
      <c r="L418" s="8">
        <v>43696.708333333336</v>
      </c>
      <c r="M418" s="3">
        <v>0</v>
      </c>
      <c r="N418" s="3">
        <v>1</v>
      </c>
      <c r="O418" s="3" t="s">
        <v>33</v>
      </c>
      <c r="P418" s="10" t="s">
        <v>576</v>
      </c>
      <c r="Q418" s="3" t="s">
        <v>43</v>
      </c>
      <c r="R418" s="3">
        <v>9</v>
      </c>
      <c r="S418" s="3">
        <v>3</v>
      </c>
      <c r="T418" s="10" t="s">
        <v>576</v>
      </c>
      <c r="U418" s="10" t="s">
        <v>576</v>
      </c>
      <c r="V418" s="3" t="s">
        <v>37</v>
      </c>
      <c r="W418" s="11" cm="1">
        <f t="array" ref="W418">IF(H418="Request","No SLA for Request", IF(F418="Emergency",B418+(4/24), WORKDAY(B418, _xlfn.IFS(F418="High", 3, F418="Normal", 5, F418="Low", 10))))</f>
        <v>43672</v>
      </c>
      <c r="X418" t="str">
        <f t="shared" si="6"/>
        <v>Yes</v>
      </c>
    </row>
    <row r="419" spans="1:24" ht="12.75" x14ac:dyDescent="0.2">
      <c r="A419" s="3">
        <v>111249</v>
      </c>
      <c r="B419" s="8">
        <v>43650.728472222225</v>
      </c>
      <c r="C419" s="3" t="s">
        <v>483</v>
      </c>
      <c r="D419" s="3" t="s">
        <v>70</v>
      </c>
      <c r="E419" s="3" t="s">
        <v>71</v>
      </c>
      <c r="F419" s="3" t="s">
        <v>124</v>
      </c>
      <c r="G419" s="3" t="s">
        <v>29</v>
      </c>
      <c r="H419" s="3" t="s">
        <v>30</v>
      </c>
      <c r="I419" s="3" t="s">
        <v>31</v>
      </c>
      <c r="J419" s="3" t="s">
        <v>32</v>
      </c>
      <c r="K419" s="8">
        <v>43704.712500000001</v>
      </c>
      <c r="L419" s="8">
        <v>43696.708333333336</v>
      </c>
      <c r="M419" s="3">
        <v>0</v>
      </c>
      <c r="N419" s="3">
        <v>1</v>
      </c>
      <c r="O419" s="3" t="s">
        <v>33</v>
      </c>
      <c r="P419" s="10" t="s">
        <v>576</v>
      </c>
      <c r="Q419" s="3" t="s">
        <v>43</v>
      </c>
      <c r="R419" s="3">
        <v>10</v>
      </c>
      <c r="S419" s="3">
        <v>4</v>
      </c>
      <c r="T419" s="10" t="s">
        <v>576</v>
      </c>
      <c r="U419" s="10" t="s">
        <v>576</v>
      </c>
      <c r="V419" s="3" t="s">
        <v>37</v>
      </c>
      <c r="W419" s="11" cm="1">
        <f t="array" ref="W419">IF(H419="Request","No SLA for Request", IF(F419="Emergency",B419+(4/24), WORKDAY(B419, _xlfn.IFS(F419="High", 3, F419="Normal", 5, F419="Low", 10))))</f>
        <v>43657</v>
      </c>
      <c r="X419" t="str">
        <f t="shared" si="6"/>
        <v>Yes</v>
      </c>
    </row>
    <row r="420" spans="1:24" ht="12.75" x14ac:dyDescent="0.2">
      <c r="A420" s="3">
        <v>111244</v>
      </c>
      <c r="B420" s="8">
        <v>43644.445138888892</v>
      </c>
      <c r="C420" s="3" t="s">
        <v>484</v>
      </c>
      <c r="D420" s="3" t="s">
        <v>70</v>
      </c>
      <c r="E420" s="3" t="s">
        <v>71</v>
      </c>
      <c r="F420" s="3" t="s">
        <v>124</v>
      </c>
      <c r="G420" s="3" t="s">
        <v>29</v>
      </c>
      <c r="H420" s="3" t="s">
        <v>30</v>
      </c>
      <c r="I420" s="3" t="s">
        <v>31</v>
      </c>
      <c r="J420" s="3" t="s">
        <v>32</v>
      </c>
      <c r="K420" s="8">
        <v>43704.711805555555</v>
      </c>
      <c r="L420" s="8">
        <v>43696.708333333336</v>
      </c>
      <c r="M420" s="3">
        <v>0</v>
      </c>
      <c r="N420" s="3">
        <v>1</v>
      </c>
      <c r="O420" s="3" t="s">
        <v>33</v>
      </c>
      <c r="P420" s="10" t="s">
        <v>576</v>
      </c>
      <c r="Q420" s="3" t="s">
        <v>43</v>
      </c>
      <c r="R420" s="3">
        <v>10</v>
      </c>
      <c r="S420" s="3">
        <v>1</v>
      </c>
      <c r="T420" s="10" t="s">
        <v>576</v>
      </c>
      <c r="U420" s="10" t="s">
        <v>576</v>
      </c>
      <c r="V420" s="3" t="s">
        <v>48</v>
      </c>
      <c r="W420" s="11" cm="1">
        <f t="array" ref="W420">IF(H420="Request","No SLA for Request", IF(F420="Emergency",B420+(4/24), WORKDAY(B420, _xlfn.IFS(F420="High", 3, F420="Normal", 5, F420="Low", 10))))</f>
        <v>43651</v>
      </c>
      <c r="X420" t="str">
        <f t="shared" si="6"/>
        <v>Yes</v>
      </c>
    </row>
    <row r="421" spans="1:24" ht="12.75" x14ac:dyDescent="0.2">
      <c r="A421" s="3">
        <v>111173</v>
      </c>
      <c r="B421" s="8">
        <v>43565.544444444444</v>
      </c>
      <c r="C421" s="3" t="s">
        <v>485</v>
      </c>
      <c r="D421" s="3" t="s">
        <v>82</v>
      </c>
      <c r="E421" s="3" t="s">
        <v>83</v>
      </c>
      <c r="F421" s="3" t="s">
        <v>124</v>
      </c>
      <c r="G421" s="3" t="s">
        <v>29</v>
      </c>
      <c r="H421" s="3" t="s">
        <v>30</v>
      </c>
      <c r="I421" s="3" t="s">
        <v>31</v>
      </c>
      <c r="J421" s="3" t="s">
        <v>32</v>
      </c>
      <c r="K421" s="8">
        <v>43704.709722222222</v>
      </c>
      <c r="L421" s="8">
        <v>43696.708333333336</v>
      </c>
      <c r="M421" s="3">
        <v>0</v>
      </c>
      <c r="N421" s="3">
        <v>1</v>
      </c>
      <c r="O421" s="3" t="s">
        <v>33</v>
      </c>
      <c r="P421" s="10" t="s">
        <v>576</v>
      </c>
      <c r="Q421" s="3" t="s">
        <v>43</v>
      </c>
      <c r="R421" s="3">
        <v>11</v>
      </c>
      <c r="S421" s="3">
        <v>2</v>
      </c>
      <c r="T421" s="10" t="s">
        <v>576</v>
      </c>
      <c r="U421" s="10" t="s">
        <v>576</v>
      </c>
      <c r="V421" s="3" t="s">
        <v>37</v>
      </c>
      <c r="W421" s="11" cm="1">
        <f t="array" ref="W421">IF(H421="Request","No SLA for Request", IF(F421="Emergency",B421+(4/24), WORKDAY(B421, _xlfn.IFS(F421="High", 3, F421="Normal", 5, F421="Low", 10))))</f>
        <v>43572</v>
      </c>
      <c r="X421" t="str">
        <f t="shared" si="6"/>
        <v>Yes</v>
      </c>
    </row>
    <row r="422" spans="1:24" ht="12.75" x14ac:dyDescent="0.2">
      <c r="A422" s="3">
        <v>111282</v>
      </c>
      <c r="B422" s="8">
        <v>43684.590277777781</v>
      </c>
      <c r="C422" s="3" t="s">
        <v>486</v>
      </c>
      <c r="D422" s="3" t="s">
        <v>26</v>
      </c>
      <c r="E422" s="3" t="s">
        <v>27</v>
      </c>
      <c r="F422" s="3" t="s">
        <v>124</v>
      </c>
      <c r="G422" s="3" t="s">
        <v>29</v>
      </c>
      <c r="H422" s="3" t="s">
        <v>30</v>
      </c>
      <c r="I422" s="3" t="s">
        <v>31</v>
      </c>
      <c r="J422" s="3" t="s">
        <v>32</v>
      </c>
      <c r="K422" s="8">
        <v>43697.709027777775</v>
      </c>
      <c r="L422" s="8">
        <v>43690.708333333336</v>
      </c>
      <c r="M422" s="3">
        <v>0</v>
      </c>
      <c r="N422" s="3">
        <v>1</v>
      </c>
      <c r="O422" s="3" t="s">
        <v>33</v>
      </c>
      <c r="P422" s="10" t="s">
        <v>576</v>
      </c>
      <c r="Q422" s="3" t="s">
        <v>34</v>
      </c>
      <c r="R422" s="3">
        <v>13</v>
      </c>
      <c r="S422" s="3">
        <v>3</v>
      </c>
      <c r="T422" s="10" t="s">
        <v>576</v>
      </c>
      <c r="U422" s="10" t="s">
        <v>576</v>
      </c>
      <c r="V422" s="3" t="s">
        <v>37</v>
      </c>
      <c r="W422" s="11" cm="1">
        <f t="array" ref="W422">IF(H422="Request","No SLA for Request", IF(F422="Emergency",B422+(4/24), WORKDAY(B422, _xlfn.IFS(F422="High", 3, F422="Normal", 5, F422="Low", 10))))</f>
        <v>43691</v>
      </c>
      <c r="X422" t="str">
        <f t="shared" si="6"/>
        <v>Yes</v>
      </c>
    </row>
    <row r="423" spans="1:24" ht="12.75" x14ac:dyDescent="0.2">
      <c r="A423" s="3">
        <v>111279</v>
      </c>
      <c r="B423" s="8">
        <v>43678.416666666664</v>
      </c>
      <c r="C423" s="3" t="s">
        <v>487</v>
      </c>
      <c r="D423" s="3" t="s">
        <v>78</v>
      </c>
      <c r="E423" s="3" t="s">
        <v>79</v>
      </c>
      <c r="F423" s="3" t="s">
        <v>124</v>
      </c>
      <c r="G423" s="3" t="s">
        <v>29</v>
      </c>
      <c r="H423" s="3" t="s">
        <v>53</v>
      </c>
      <c r="I423" s="3" t="s">
        <v>31</v>
      </c>
      <c r="J423" s="3" t="s">
        <v>32</v>
      </c>
      <c r="K423" s="8">
        <v>43690.601388888892</v>
      </c>
      <c r="L423" s="8">
        <v>43678.916666666664</v>
      </c>
      <c r="M423" s="3">
        <v>0</v>
      </c>
      <c r="N423" s="3">
        <v>1</v>
      </c>
      <c r="O423" s="3" t="s">
        <v>33</v>
      </c>
      <c r="P423" s="10" t="s">
        <v>576</v>
      </c>
      <c r="Q423" s="3" t="s">
        <v>43</v>
      </c>
      <c r="R423" s="3">
        <v>6</v>
      </c>
      <c r="S423" s="3">
        <v>0</v>
      </c>
      <c r="T423" s="10" t="s">
        <v>576</v>
      </c>
      <c r="U423" s="10" t="s">
        <v>576</v>
      </c>
      <c r="V423" s="3" t="s">
        <v>37</v>
      </c>
      <c r="W423" s="11" t="str" cm="1">
        <f t="array" ref="W423">IF(H423="Request","No SLA for Request", IF(F423="Emergency",B423+(4/24), WORKDAY(B423, _xlfn.IFS(F423="High", 3, F423="Normal", 5, F423="Low", 10))))</f>
        <v>No SLA for Request</v>
      </c>
      <c r="X423" t="str">
        <f t="shared" si="6"/>
        <v>N/A</v>
      </c>
    </row>
    <row r="424" spans="1:24" ht="12.75" x14ac:dyDescent="0.2">
      <c r="A424" s="3">
        <v>111278</v>
      </c>
      <c r="B424" s="8">
        <v>43678.370138888888</v>
      </c>
      <c r="C424" s="3" t="s">
        <v>488</v>
      </c>
      <c r="D424" s="3" t="s">
        <v>78</v>
      </c>
      <c r="E424" s="3" t="s">
        <v>79</v>
      </c>
      <c r="F424" s="3" t="s">
        <v>124</v>
      </c>
      <c r="G424" s="3" t="s">
        <v>29</v>
      </c>
      <c r="H424" s="3" t="s">
        <v>53</v>
      </c>
      <c r="I424" s="3" t="s">
        <v>31</v>
      </c>
      <c r="J424" s="3" t="s">
        <v>32</v>
      </c>
      <c r="K424" s="8">
        <v>43690.600694444445</v>
      </c>
      <c r="L424" s="8">
        <v>43678.870138888888</v>
      </c>
      <c r="M424" s="3">
        <v>0</v>
      </c>
      <c r="N424" s="3">
        <v>1</v>
      </c>
      <c r="O424" s="3" t="s">
        <v>33</v>
      </c>
      <c r="P424" s="10" t="s">
        <v>576</v>
      </c>
      <c r="Q424" s="3" t="s">
        <v>72</v>
      </c>
      <c r="R424" s="3">
        <v>5</v>
      </c>
      <c r="S424" s="3">
        <v>0</v>
      </c>
      <c r="T424" s="10" t="s">
        <v>576</v>
      </c>
      <c r="U424" s="10" t="s">
        <v>576</v>
      </c>
      <c r="V424" s="3" t="s">
        <v>37</v>
      </c>
      <c r="W424" s="11" t="str" cm="1">
        <f t="array" ref="W424">IF(H424="Request","No SLA for Request", IF(F424="Emergency",B424+(4/24), WORKDAY(B424, _xlfn.IFS(F424="High", 3, F424="Normal", 5, F424="Low", 10))))</f>
        <v>No SLA for Request</v>
      </c>
      <c r="X424" t="str">
        <f t="shared" si="6"/>
        <v>N/A</v>
      </c>
    </row>
    <row r="425" spans="1:24" ht="12.75" x14ac:dyDescent="0.2">
      <c r="A425" s="3">
        <v>111274</v>
      </c>
      <c r="B425" s="8">
        <v>43675.425000000003</v>
      </c>
      <c r="C425" s="3" t="s">
        <v>489</v>
      </c>
      <c r="D425" s="3" t="s">
        <v>96</v>
      </c>
      <c r="E425" s="3" t="s">
        <v>97</v>
      </c>
      <c r="F425" s="3" t="s">
        <v>124</v>
      </c>
      <c r="G425" s="3" t="s">
        <v>29</v>
      </c>
      <c r="H425" s="3" t="s">
        <v>30</v>
      </c>
      <c r="I425" s="3" t="s">
        <v>31</v>
      </c>
      <c r="J425" s="3" t="s">
        <v>32</v>
      </c>
      <c r="K425" s="8">
        <v>43684.714583333334</v>
      </c>
      <c r="L425" s="8">
        <v>43679.708333333336</v>
      </c>
      <c r="M425" s="3">
        <v>0</v>
      </c>
      <c r="N425" s="3">
        <v>1</v>
      </c>
      <c r="O425" s="3" t="s">
        <v>33</v>
      </c>
      <c r="P425" s="10" t="s">
        <v>576</v>
      </c>
      <c r="Q425" s="3" t="s">
        <v>43</v>
      </c>
      <c r="R425" s="3">
        <v>9</v>
      </c>
      <c r="S425" s="3">
        <v>3</v>
      </c>
      <c r="T425" s="10" t="s">
        <v>576</v>
      </c>
      <c r="U425" s="10" t="s">
        <v>576</v>
      </c>
      <c r="V425" s="3" t="s">
        <v>37</v>
      </c>
      <c r="W425" s="11" cm="1">
        <f t="array" ref="W425">IF(H425="Request","No SLA for Request", IF(F425="Emergency",B425+(4/24), WORKDAY(B425, _xlfn.IFS(F425="High", 3, F425="Normal", 5, F425="Low", 10))))</f>
        <v>43682</v>
      </c>
      <c r="X425" t="str">
        <f t="shared" si="6"/>
        <v>Yes</v>
      </c>
    </row>
    <row r="426" spans="1:24" ht="12.75" x14ac:dyDescent="0.2">
      <c r="A426" s="3">
        <v>111277</v>
      </c>
      <c r="B426" s="8">
        <v>43677.44027777778</v>
      </c>
      <c r="C426" s="3" t="s">
        <v>490</v>
      </c>
      <c r="D426" s="3" t="s">
        <v>96</v>
      </c>
      <c r="E426" s="3" t="s">
        <v>97</v>
      </c>
      <c r="F426" s="3" t="s">
        <v>124</v>
      </c>
      <c r="G426" s="3" t="s">
        <v>29</v>
      </c>
      <c r="H426" s="3" t="s">
        <v>53</v>
      </c>
      <c r="I426" s="3" t="s">
        <v>31</v>
      </c>
      <c r="J426" s="3" t="s">
        <v>32</v>
      </c>
      <c r="K426" s="8">
        <v>43683.736805555556</v>
      </c>
      <c r="L426" s="8">
        <v>43677.94027777778</v>
      </c>
      <c r="M426" s="3">
        <v>0</v>
      </c>
      <c r="N426" s="3">
        <v>1</v>
      </c>
      <c r="O426" s="3" t="s">
        <v>33</v>
      </c>
      <c r="P426" s="10" t="s">
        <v>576</v>
      </c>
      <c r="Q426" s="3" t="s">
        <v>72</v>
      </c>
      <c r="R426" s="3">
        <v>9</v>
      </c>
      <c r="S426" s="3">
        <v>0</v>
      </c>
      <c r="T426" s="10" t="s">
        <v>576</v>
      </c>
      <c r="U426" s="10" t="s">
        <v>576</v>
      </c>
      <c r="V426" s="3" t="s">
        <v>37</v>
      </c>
      <c r="W426" s="11" t="str" cm="1">
        <f t="array" ref="W426">IF(H426="Request","No SLA for Request", IF(F426="Emergency",B426+(4/24), WORKDAY(B426, _xlfn.IFS(F426="High", 3, F426="Normal", 5, F426="Low", 10))))</f>
        <v>No SLA for Request</v>
      </c>
      <c r="X426" t="str">
        <f t="shared" si="6"/>
        <v>N/A</v>
      </c>
    </row>
    <row r="427" spans="1:24" ht="12.75" x14ac:dyDescent="0.2">
      <c r="A427" s="3">
        <v>111263</v>
      </c>
      <c r="B427" s="8">
        <v>43662.478472222225</v>
      </c>
      <c r="C427" s="3" t="s">
        <v>491</v>
      </c>
      <c r="D427" s="3" t="s">
        <v>26</v>
      </c>
      <c r="E427" s="3" t="s">
        <v>27</v>
      </c>
      <c r="F427" s="3" t="s">
        <v>124</v>
      </c>
      <c r="G427" s="3" t="s">
        <v>29</v>
      </c>
      <c r="H427" s="3" t="s">
        <v>30</v>
      </c>
      <c r="I427" s="3" t="s">
        <v>31</v>
      </c>
      <c r="J427" s="3" t="s">
        <v>32</v>
      </c>
      <c r="K427" s="8">
        <v>43683.73333333333</v>
      </c>
      <c r="L427" s="8">
        <v>43662.978472222225</v>
      </c>
      <c r="M427" s="3">
        <v>0</v>
      </c>
      <c r="N427" s="3">
        <v>1</v>
      </c>
      <c r="O427" s="3" t="s">
        <v>33</v>
      </c>
      <c r="P427" s="10" t="s">
        <v>576</v>
      </c>
      <c r="Q427" s="3" t="s">
        <v>34</v>
      </c>
      <c r="R427" s="3">
        <v>7</v>
      </c>
      <c r="S427" s="3">
        <v>2</v>
      </c>
      <c r="T427" s="10" t="s">
        <v>576</v>
      </c>
      <c r="U427" s="10" t="s">
        <v>576</v>
      </c>
      <c r="V427" s="3" t="s">
        <v>37</v>
      </c>
      <c r="W427" s="11" cm="1">
        <f t="array" ref="W427">IF(H427="Request","No SLA for Request", IF(F427="Emergency",B427+(4/24), WORKDAY(B427, _xlfn.IFS(F427="High", 3, F427="Normal", 5, F427="Low", 10))))</f>
        <v>43669</v>
      </c>
      <c r="X427" t="str">
        <f t="shared" si="6"/>
        <v>Yes</v>
      </c>
    </row>
    <row r="428" spans="1:24" ht="12.75" x14ac:dyDescent="0.2">
      <c r="A428" s="3">
        <v>111275</v>
      </c>
      <c r="B428" s="8">
        <v>43676.6</v>
      </c>
      <c r="C428" s="3" t="s">
        <v>492</v>
      </c>
      <c r="D428" s="3" t="s">
        <v>70</v>
      </c>
      <c r="E428" s="3" t="s">
        <v>71</v>
      </c>
      <c r="F428" s="3" t="s">
        <v>124</v>
      </c>
      <c r="G428" s="3" t="s">
        <v>29</v>
      </c>
      <c r="H428" s="3" t="s">
        <v>30</v>
      </c>
      <c r="I428" s="3" t="s">
        <v>31</v>
      </c>
      <c r="J428" s="3" t="s">
        <v>32</v>
      </c>
      <c r="K428" s="8">
        <v>43683.731944444444</v>
      </c>
      <c r="L428" s="8">
        <v>43677.791666666664</v>
      </c>
      <c r="M428" s="3">
        <v>0</v>
      </c>
      <c r="N428" s="3">
        <v>1</v>
      </c>
      <c r="O428" s="3" t="s">
        <v>33</v>
      </c>
      <c r="P428" s="10" t="s">
        <v>576</v>
      </c>
      <c r="Q428" s="3" t="s">
        <v>43</v>
      </c>
      <c r="R428" s="3">
        <v>12</v>
      </c>
      <c r="S428" s="3">
        <v>5</v>
      </c>
      <c r="T428" s="10" t="s">
        <v>576</v>
      </c>
      <c r="U428" s="10" t="s">
        <v>576</v>
      </c>
      <c r="V428" s="3" t="s">
        <v>37</v>
      </c>
      <c r="W428" s="11" cm="1">
        <f t="array" ref="W428">IF(H428="Request","No SLA for Request", IF(F428="Emergency",B428+(4/24), WORKDAY(B428, _xlfn.IFS(F428="High", 3, F428="Normal", 5, F428="Low", 10))))</f>
        <v>43683</v>
      </c>
      <c r="X428" t="str">
        <f t="shared" si="6"/>
        <v>Yes</v>
      </c>
    </row>
    <row r="429" spans="1:24" ht="12.75" x14ac:dyDescent="0.2">
      <c r="A429" s="3">
        <v>111276</v>
      </c>
      <c r="B429" s="8">
        <v>43677.409722222219</v>
      </c>
      <c r="C429" s="3" t="s">
        <v>174</v>
      </c>
      <c r="D429" s="3" t="s">
        <v>96</v>
      </c>
      <c r="E429" s="3" t="s">
        <v>97</v>
      </c>
      <c r="F429" s="3" t="s">
        <v>124</v>
      </c>
      <c r="G429" s="3" t="s">
        <v>29</v>
      </c>
      <c r="H429" s="3" t="s">
        <v>30</v>
      </c>
      <c r="I429" s="3" t="s">
        <v>31</v>
      </c>
      <c r="J429" s="3" t="s">
        <v>32</v>
      </c>
      <c r="K429" s="8">
        <v>43683.731249999997</v>
      </c>
      <c r="L429" s="8">
        <v>43678.708333333336</v>
      </c>
      <c r="M429" s="3">
        <v>0</v>
      </c>
      <c r="N429" s="3">
        <v>1</v>
      </c>
      <c r="O429" s="3" t="s">
        <v>33</v>
      </c>
      <c r="P429" s="10" t="s">
        <v>576</v>
      </c>
      <c r="Q429" s="3" t="s">
        <v>43</v>
      </c>
      <c r="R429" s="3">
        <v>16</v>
      </c>
      <c r="S429" s="3">
        <v>3</v>
      </c>
      <c r="T429" s="10" t="s">
        <v>576</v>
      </c>
      <c r="U429" s="10" t="s">
        <v>576</v>
      </c>
      <c r="V429" s="3" t="s">
        <v>37</v>
      </c>
      <c r="W429" s="11" cm="1">
        <f t="array" ref="W429">IF(H429="Request","No SLA for Request", IF(F429="Emergency",B429+(4/24), WORKDAY(B429, _xlfn.IFS(F429="High", 3, F429="Normal", 5, F429="Low", 10))))</f>
        <v>43684</v>
      </c>
      <c r="X429" t="str">
        <f t="shared" si="6"/>
        <v>No</v>
      </c>
    </row>
    <row r="430" spans="1:24" ht="12.75" x14ac:dyDescent="0.2">
      <c r="A430" s="3">
        <v>111190</v>
      </c>
      <c r="B430" s="8">
        <v>43585.650694444441</v>
      </c>
      <c r="C430" s="3" t="s">
        <v>493</v>
      </c>
      <c r="D430" s="3" t="s">
        <v>78</v>
      </c>
      <c r="E430" s="3" t="s">
        <v>79</v>
      </c>
      <c r="F430" s="3" t="s">
        <v>124</v>
      </c>
      <c r="G430" s="3" t="s">
        <v>29</v>
      </c>
      <c r="H430" s="3" t="s">
        <v>30</v>
      </c>
      <c r="I430" s="3" t="s">
        <v>31</v>
      </c>
      <c r="J430" s="3" t="s">
        <v>32</v>
      </c>
      <c r="K430" s="8">
        <v>43678.790972222225</v>
      </c>
      <c r="L430" s="8">
        <v>43586.150694444441</v>
      </c>
      <c r="M430" s="3">
        <v>0</v>
      </c>
      <c r="N430" s="3">
        <v>1</v>
      </c>
      <c r="O430" s="3" t="s">
        <v>33</v>
      </c>
      <c r="P430" s="10" t="s">
        <v>576</v>
      </c>
      <c r="Q430" s="3" t="s">
        <v>43</v>
      </c>
      <c r="R430" s="3">
        <v>34</v>
      </c>
      <c r="S430" s="3">
        <v>8</v>
      </c>
      <c r="T430" s="10" t="s">
        <v>576</v>
      </c>
      <c r="U430" s="10" t="s">
        <v>576</v>
      </c>
      <c r="V430" s="3" t="s">
        <v>37</v>
      </c>
      <c r="W430" s="11" cm="1">
        <f t="array" ref="W430">IF(H430="Request","No SLA for Request", IF(F430="Emergency",B430+(4/24), WORKDAY(B430, _xlfn.IFS(F430="High", 3, F430="Normal", 5, F430="Low", 10))))</f>
        <v>43592</v>
      </c>
      <c r="X430" t="str">
        <f t="shared" si="6"/>
        <v>Yes</v>
      </c>
    </row>
    <row r="431" spans="1:24" ht="12.75" x14ac:dyDescent="0.2">
      <c r="A431" s="3">
        <v>111264</v>
      </c>
      <c r="B431" s="8">
        <v>43663.592361111114</v>
      </c>
      <c r="C431" s="3" t="s">
        <v>488</v>
      </c>
      <c r="D431" s="3" t="s">
        <v>603</v>
      </c>
      <c r="E431" s="3" t="s">
        <v>604</v>
      </c>
      <c r="F431" s="3" t="s">
        <v>124</v>
      </c>
      <c r="G431" s="3" t="s">
        <v>29</v>
      </c>
      <c r="H431" s="3" t="s">
        <v>30</v>
      </c>
      <c r="I431" s="3" t="s">
        <v>31</v>
      </c>
      <c r="J431" s="3" t="s">
        <v>32</v>
      </c>
      <c r="K431" s="8">
        <v>43675.736111111109</v>
      </c>
      <c r="L431" s="8">
        <v>43664.092361111114</v>
      </c>
      <c r="M431" s="3">
        <v>0</v>
      </c>
      <c r="N431" s="3">
        <v>1</v>
      </c>
      <c r="O431" s="3" t="s">
        <v>33</v>
      </c>
      <c r="P431" s="10" t="s">
        <v>576</v>
      </c>
      <c r="Q431" s="3" t="s">
        <v>34</v>
      </c>
      <c r="R431" s="3">
        <v>8</v>
      </c>
      <c r="S431" s="3">
        <v>1</v>
      </c>
      <c r="T431" s="10" t="s">
        <v>576</v>
      </c>
      <c r="U431" s="10" t="s">
        <v>576</v>
      </c>
      <c r="V431" s="3" t="s">
        <v>37</v>
      </c>
      <c r="W431" s="11" cm="1">
        <f t="array" ref="W431">IF(H431="Request","No SLA for Request", IF(F431="Emergency",B431+(4/24), WORKDAY(B431, _xlfn.IFS(F431="High", 3, F431="Normal", 5, F431="Low", 10))))</f>
        <v>43670</v>
      </c>
      <c r="X431" t="str">
        <f t="shared" si="6"/>
        <v>Yes</v>
      </c>
    </row>
    <row r="432" spans="1:24" ht="12.75" x14ac:dyDescent="0.2">
      <c r="A432" s="3">
        <v>111251</v>
      </c>
      <c r="B432" s="8">
        <v>43654.436805555553</v>
      </c>
      <c r="C432" s="3" t="s">
        <v>494</v>
      </c>
      <c r="D432" s="3" t="s">
        <v>70</v>
      </c>
      <c r="E432" s="3" t="s">
        <v>71</v>
      </c>
      <c r="F432" s="3" t="s">
        <v>124</v>
      </c>
      <c r="G432" s="3" t="s">
        <v>29</v>
      </c>
      <c r="H432" s="3" t="s">
        <v>30</v>
      </c>
      <c r="I432" s="3" t="s">
        <v>31</v>
      </c>
      <c r="J432" s="3" t="s">
        <v>32</v>
      </c>
      <c r="K432" s="8">
        <v>43664.741666666669</v>
      </c>
      <c r="L432" s="8">
        <v>43659.697916666664</v>
      </c>
      <c r="M432" s="3">
        <v>0</v>
      </c>
      <c r="N432" s="3">
        <v>1</v>
      </c>
      <c r="O432" s="3" t="s">
        <v>33</v>
      </c>
      <c r="P432" s="10" t="s">
        <v>576</v>
      </c>
      <c r="Q432" s="3" t="s">
        <v>43</v>
      </c>
      <c r="R432" s="3">
        <v>16</v>
      </c>
      <c r="S432" s="3">
        <v>7</v>
      </c>
      <c r="T432" s="10" t="s">
        <v>576</v>
      </c>
      <c r="U432" s="10" t="s">
        <v>576</v>
      </c>
      <c r="V432" s="3" t="s">
        <v>37</v>
      </c>
      <c r="W432" s="11" cm="1">
        <f t="array" ref="W432">IF(H432="Request","No SLA for Request", IF(F432="Emergency",B432+(4/24), WORKDAY(B432, _xlfn.IFS(F432="High", 3, F432="Normal", 5, F432="Low", 10))))</f>
        <v>43661</v>
      </c>
      <c r="X432" t="str">
        <f t="shared" si="6"/>
        <v>Yes</v>
      </c>
    </row>
    <row r="433" spans="1:24" ht="12.75" x14ac:dyDescent="0.2">
      <c r="A433" s="3">
        <v>111260</v>
      </c>
      <c r="B433" s="8">
        <v>43661.629166666666</v>
      </c>
      <c r="C433" s="3" t="s">
        <v>495</v>
      </c>
      <c r="D433" s="3" t="s">
        <v>603</v>
      </c>
      <c r="E433" s="3" t="s">
        <v>604</v>
      </c>
      <c r="F433" s="3" t="s">
        <v>124</v>
      </c>
      <c r="G433" s="3" t="s">
        <v>29</v>
      </c>
      <c r="H433" s="3" t="s">
        <v>30</v>
      </c>
      <c r="I433" s="3" t="s">
        <v>31</v>
      </c>
      <c r="J433" s="3" t="s">
        <v>32</v>
      </c>
      <c r="K433" s="8">
        <v>43663.743750000001</v>
      </c>
      <c r="L433" s="8">
        <v>43662.129166666666</v>
      </c>
      <c r="M433" s="3">
        <v>0</v>
      </c>
      <c r="N433" s="3">
        <v>1</v>
      </c>
      <c r="O433" s="3" t="s">
        <v>33</v>
      </c>
      <c r="P433" s="10" t="s">
        <v>576</v>
      </c>
      <c r="Q433" s="3" t="s">
        <v>34</v>
      </c>
      <c r="R433" s="3">
        <v>9</v>
      </c>
      <c r="S433" s="3">
        <v>1</v>
      </c>
      <c r="T433" s="10" t="s">
        <v>576</v>
      </c>
      <c r="U433" s="10" t="s">
        <v>576</v>
      </c>
      <c r="V433" s="3" t="s">
        <v>48</v>
      </c>
      <c r="W433" s="11" cm="1">
        <f t="array" ref="W433">IF(H433="Request","No SLA for Request", IF(F433="Emergency",B433+(4/24), WORKDAY(B433, _xlfn.IFS(F433="High", 3, F433="Normal", 5, F433="Low", 10))))</f>
        <v>43668</v>
      </c>
      <c r="X433" t="str">
        <f t="shared" si="6"/>
        <v>No</v>
      </c>
    </row>
    <row r="434" spans="1:24" ht="12.75" x14ac:dyDescent="0.2">
      <c r="A434" s="3">
        <v>111250</v>
      </c>
      <c r="B434" s="8">
        <v>43651.623611111114</v>
      </c>
      <c r="C434" s="3" t="s">
        <v>496</v>
      </c>
      <c r="D434" s="3" t="s">
        <v>82</v>
      </c>
      <c r="E434" s="3" t="s">
        <v>83</v>
      </c>
      <c r="F434" s="3" t="s">
        <v>124</v>
      </c>
      <c r="G434" s="3" t="s">
        <v>29</v>
      </c>
      <c r="H434" s="3" t="s">
        <v>53</v>
      </c>
      <c r="I434" s="3" t="s">
        <v>31</v>
      </c>
      <c r="J434" s="3" t="s">
        <v>32</v>
      </c>
      <c r="K434" s="8">
        <v>43661.726388888892</v>
      </c>
      <c r="L434" s="8">
        <v>43656.708333333336</v>
      </c>
      <c r="M434" s="3">
        <v>0</v>
      </c>
      <c r="N434" s="3">
        <v>1</v>
      </c>
      <c r="O434" s="3" t="s">
        <v>33</v>
      </c>
      <c r="P434" s="10" t="s">
        <v>576</v>
      </c>
      <c r="Q434" s="3" t="s">
        <v>43</v>
      </c>
      <c r="R434" s="3">
        <v>16</v>
      </c>
      <c r="S434" s="3">
        <v>0</v>
      </c>
      <c r="T434" s="10" t="s">
        <v>576</v>
      </c>
      <c r="U434" s="10" t="s">
        <v>576</v>
      </c>
      <c r="V434" s="3" t="s">
        <v>37</v>
      </c>
      <c r="W434" s="11" t="str" cm="1">
        <f t="array" ref="W434">IF(H434="Request","No SLA for Request", IF(F434="Emergency",B434+(4/24), WORKDAY(B434, _xlfn.IFS(F434="High", 3, F434="Normal", 5, F434="Low", 10))))</f>
        <v>No SLA for Request</v>
      </c>
      <c r="X434" t="str">
        <f t="shared" si="6"/>
        <v>N/A</v>
      </c>
    </row>
    <row r="435" spans="1:24" ht="12.75" x14ac:dyDescent="0.2">
      <c r="A435" s="3">
        <v>111255</v>
      </c>
      <c r="B435" s="8">
        <v>43655.51666666667</v>
      </c>
      <c r="C435" s="3" t="s">
        <v>645</v>
      </c>
      <c r="D435" s="3" t="s">
        <v>26</v>
      </c>
      <c r="E435" s="3" t="s">
        <v>27</v>
      </c>
      <c r="F435" s="3" t="s">
        <v>124</v>
      </c>
      <c r="G435" s="3" t="s">
        <v>29</v>
      </c>
      <c r="H435" s="3" t="s">
        <v>53</v>
      </c>
      <c r="I435" s="3" t="s">
        <v>31</v>
      </c>
      <c r="J435" s="3" t="s">
        <v>32</v>
      </c>
      <c r="K435" s="8">
        <v>43661.635416666664</v>
      </c>
      <c r="L435" s="8">
        <v>43656.01666666667</v>
      </c>
      <c r="M435" s="3">
        <v>0</v>
      </c>
      <c r="N435" s="3">
        <v>1</v>
      </c>
      <c r="O435" s="3" t="s">
        <v>33</v>
      </c>
      <c r="P435" s="10" t="s">
        <v>576</v>
      </c>
      <c r="Q435" s="3" t="s">
        <v>34</v>
      </c>
      <c r="R435" s="3">
        <v>7</v>
      </c>
      <c r="S435" s="3">
        <v>1</v>
      </c>
      <c r="T435" s="10" t="s">
        <v>576</v>
      </c>
      <c r="U435" s="10" t="s">
        <v>576</v>
      </c>
      <c r="V435" s="3" t="s">
        <v>48</v>
      </c>
      <c r="W435" s="11" t="str" cm="1">
        <f t="array" ref="W435">IF(H435="Request","No SLA for Request", IF(F435="Emergency",B435+(4/24), WORKDAY(B435, _xlfn.IFS(F435="High", 3, F435="Normal", 5, F435="Low", 10))))</f>
        <v>No SLA for Request</v>
      </c>
      <c r="X435" t="str">
        <f t="shared" si="6"/>
        <v>N/A</v>
      </c>
    </row>
    <row r="436" spans="1:24" ht="12.75" x14ac:dyDescent="0.2">
      <c r="A436" s="3">
        <v>111256</v>
      </c>
      <c r="B436" s="8">
        <v>43656.4375</v>
      </c>
      <c r="C436" s="3" t="s">
        <v>175</v>
      </c>
      <c r="D436" s="3" t="s">
        <v>73</v>
      </c>
      <c r="E436" s="3" t="s">
        <v>74</v>
      </c>
      <c r="F436" s="3" t="s">
        <v>124</v>
      </c>
      <c r="G436" s="3" t="s">
        <v>29</v>
      </c>
      <c r="H436" s="3" t="s">
        <v>30</v>
      </c>
      <c r="I436" s="3" t="s">
        <v>31</v>
      </c>
      <c r="J436" s="3" t="s">
        <v>32</v>
      </c>
      <c r="K436" s="8">
        <v>43661.594444444447</v>
      </c>
      <c r="L436" s="8">
        <v>43656.9375</v>
      </c>
      <c r="M436" s="3">
        <v>0</v>
      </c>
      <c r="N436" s="3">
        <v>1</v>
      </c>
      <c r="O436" s="3" t="s">
        <v>33</v>
      </c>
      <c r="P436" s="10" t="s">
        <v>576</v>
      </c>
      <c r="Q436" s="3" t="s">
        <v>34</v>
      </c>
      <c r="R436" s="3">
        <v>8</v>
      </c>
      <c r="S436" s="3">
        <v>1</v>
      </c>
      <c r="T436" s="10" t="s">
        <v>576</v>
      </c>
      <c r="U436" s="10" t="s">
        <v>576</v>
      </c>
      <c r="V436" s="3" t="s">
        <v>48</v>
      </c>
      <c r="W436" s="11" cm="1">
        <f t="array" ref="W436">IF(H436="Request","No SLA for Request", IF(F436="Emergency",B436+(4/24), WORKDAY(B436, _xlfn.IFS(F436="High", 3, F436="Normal", 5, F436="Low", 10))))</f>
        <v>43663</v>
      </c>
      <c r="X436" t="str">
        <f t="shared" si="6"/>
        <v>No</v>
      </c>
    </row>
    <row r="437" spans="1:24" ht="12.75" x14ac:dyDescent="0.2">
      <c r="A437" s="3">
        <v>111208</v>
      </c>
      <c r="B437" s="8">
        <v>43608.52847222222</v>
      </c>
      <c r="C437" s="3" t="s">
        <v>497</v>
      </c>
      <c r="D437" s="3" t="s">
        <v>78</v>
      </c>
      <c r="E437" s="3" t="s">
        <v>79</v>
      </c>
      <c r="F437" s="3" t="s">
        <v>124</v>
      </c>
      <c r="G437" s="3" t="s">
        <v>29</v>
      </c>
      <c r="H437" s="3" t="s">
        <v>30</v>
      </c>
      <c r="I437" s="3" t="s">
        <v>31</v>
      </c>
      <c r="J437" s="3" t="s">
        <v>32</v>
      </c>
      <c r="K437" s="8">
        <v>43656.726388888892</v>
      </c>
      <c r="L437" s="8">
        <v>43651.708333333336</v>
      </c>
      <c r="M437" s="3">
        <v>0</v>
      </c>
      <c r="N437" s="3">
        <v>1</v>
      </c>
      <c r="O437" s="3" t="s">
        <v>33</v>
      </c>
      <c r="P437" s="10" t="s">
        <v>576</v>
      </c>
      <c r="Q437" s="3" t="s">
        <v>43</v>
      </c>
      <c r="R437" s="3">
        <v>14</v>
      </c>
      <c r="S437" s="3">
        <v>1</v>
      </c>
      <c r="T437" s="10" t="s">
        <v>576</v>
      </c>
      <c r="U437" s="10" t="s">
        <v>576</v>
      </c>
      <c r="V437" s="3" t="s">
        <v>37</v>
      </c>
      <c r="W437" s="11" cm="1">
        <f t="array" ref="W437">IF(H437="Request","No SLA for Request", IF(F437="Emergency",B437+(4/24), WORKDAY(B437, _xlfn.IFS(F437="High", 3, F437="Normal", 5, F437="Low", 10))))</f>
        <v>43615</v>
      </c>
      <c r="X437" t="str">
        <f t="shared" si="6"/>
        <v>Yes</v>
      </c>
    </row>
    <row r="438" spans="1:24" ht="12.75" x14ac:dyDescent="0.2">
      <c r="A438" s="3">
        <v>111197</v>
      </c>
      <c r="B438" s="8">
        <v>43593.434027777781</v>
      </c>
      <c r="C438" s="3" t="s">
        <v>498</v>
      </c>
      <c r="D438" s="3" t="s">
        <v>117</v>
      </c>
      <c r="E438" s="3" t="s">
        <v>118</v>
      </c>
      <c r="F438" s="3" t="s">
        <v>124</v>
      </c>
      <c r="G438" s="3" t="s">
        <v>29</v>
      </c>
      <c r="H438" s="3" t="s">
        <v>30</v>
      </c>
      <c r="I438" s="3" t="s">
        <v>61</v>
      </c>
      <c r="J438" s="3" t="s">
        <v>32</v>
      </c>
      <c r="K438" s="8">
        <v>43656.724305555559</v>
      </c>
      <c r="L438" s="8">
        <v>43651.708333333336</v>
      </c>
      <c r="M438" s="3">
        <v>0</v>
      </c>
      <c r="N438" s="3">
        <v>1</v>
      </c>
      <c r="O438" s="3" t="s">
        <v>33</v>
      </c>
      <c r="P438" s="10" t="s">
        <v>576</v>
      </c>
      <c r="Q438" s="3" t="s">
        <v>43</v>
      </c>
      <c r="R438" s="3">
        <v>8</v>
      </c>
      <c r="S438" s="3">
        <v>1</v>
      </c>
      <c r="T438" s="10" t="s">
        <v>576</v>
      </c>
      <c r="U438" s="10" t="s">
        <v>576</v>
      </c>
      <c r="V438" s="3" t="s">
        <v>37</v>
      </c>
      <c r="W438" s="11" cm="1">
        <f t="array" ref="W438">IF(H438="Request","No SLA for Request", IF(F438="Emergency",B438+(4/24), WORKDAY(B438, _xlfn.IFS(F438="High", 3, F438="Normal", 5, F438="Low", 10))))</f>
        <v>43600</v>
      </c>
      <c r="X438" t="str">
        <f t="shared" si="6"/>
        <v>Yes</v>
      </c>
    </row>
    <row r="439" spans="1:24" ht="12.75" x14ac:dyDescent="0.2">
      <c r="A439" s="3">
        <v>111245</v>
      </c>
      <c r="B439" s="8">
        <v>43644.640972222223</v>
      </c>
      <c r="C439" s="3" t="s">
        <v>499</v>
      </c>
      <c r="D439" s="3" t="s">
        <v>78</v>
      </c>
      <c r="E439" s="3" t="s">
        <v>79</v>
      </c>
      <c r="F439" s="3" t="s">
        <v>124</v>
      </c>
      <c r="G439" s="3" t="s">
        <v>29</v>
      </c>
      <c r="H439" s="3" t="s">
        <v>30</v>
      </c>
      <c r="I439" s="3" t="s">
        <v>31</v>
      </c>
      <c r="J439" s="3" t="s">
        <v>32</v>
      </c>
      <c r="K439" s="8">
        <v>43655.498611111114</v>
      </c>
      <c r="L439" s="8">
        <v>43648.708333333336</v>
      </c>
      <c r="M439" s="3">
        <v>0</v>
      </c>
      <c r="N439" s="3">
        <v>1</v>
      </c>
      <c r="O439" s="3" t="s">
        <v>33</v>
      </c>
      <c r="P439" s="10" t="s">
        <v>576</v>
      </c>
      <c r="Q439" s="3" t="s">
        <v>43</v>
      </c>
      <c r="R439" s="3">
        <v>17</v>
      </c>
      <c r="S439" s="3">
        <v>3</v>
      </c>
      <c r="T439" s="10" t="s">
        <v>576</v>
      </c>
      <c r="U439" s="10" t="s">
        <v>576</v>
      </c>
      <c r="V439" s="3" t="s">
        <v>37</v>
      </c>
      <c r="W439" s="11" cm="1">
        <f t="array" ref="W439">IF(H439="Request","No SLA for Request", IF(F439="Emergency",B439+(4/24), WORKDAY(B439, _xlfn.IFS(F439="High", 3, F439="Normal", 5, F439="Low", 10))))</f>
        <v>43651</v>
      </c>
      <c r="X439" t="str">
        <f t="shared" si="6"/>
        <v>Yes</v>
      </c>
    </row>
    <row r="440" spans="1:24" ht="12.75" x14ac:dyDescent="0.2">
      <c r="A440" s="3">
        <v>111237</v>
      </c>
      <c r="B440" s="8">
        <v>43635.669444444444</v>
      </c>
      <c r="C440" s="3" t="s">
        <v>500</v>
      </c>
      <c r="D440" s="3" t="s">
        <v>82</v>
      </c>
      <c r="E440" s="3" t="s">
        <v>83</v>
      </c>
      <c r="F440" s="3" t="s">
        <v>124</v>
      </c>
      <c r="G440" s="3" t="s">
        <v>29</v>
      </c>
      <c r="H440" s="3" t="s">
        <v>30</v>
      </c>
      <c r="I440" s="3" t="s">
        <v>31</v>
      </c>
      <c r="J440" s="3" t="s">
        <v>32</v>
      </c>
      <c r="K440" s="8">
        <v>43651.724999999999</v>
      </c>
      <c r="L440" s="8">
        <v>43636.169444444444</v>
      </c>
      <c r="M440" s="3">
        <v>0</v>
      </c>
      <c r="N440" s="3">
        <v>1</v>
      </c>
      <c r="O440" s="3" t="s">
        <v>33</v>
      </c>
      <c r="P440" s="10" t="s">
        <v>576</v>
      </c>
      <c r="Q440" s="3" t="s">
        <v>43</v>
      </c>
      <c r="R440" s="3">
        <v>13</v>
      </c>
      <c r="S440" s="3">
        <v>2</v>
      </c>
      <c r="T440" s="10" t="s">
        <v>576</v>
      </c>
      <c r="U440" s="10" t="s">
        <v>576</v>
      </c>
      <c r="V440" s="3" t="s">
        <v>48</v>
      </c>
      <c r="W440" s="11" cm="1">
        <f t="array" ref="W440">IF(H440="Request","No SLA for Request", IF(F440="Emergency",B440+(4/24), WORKDAY(B440, _xlfn.IFS(F440="High", 3, F440="Normal", 5, F440="Low", 10))))</f>
        <v>43642</v>
      </c>
      <c r="X440" t="str">
        <f t="shared" si="6"/>
        <v>Yes</v>
      </c>
    </row>
    <row r="441" spans="1:24" ht="12.75" x14ac:dyDescent="0.2">
      <c r="A441" s="3">
        <v>111238</v>
      </c>
      <c r="B441" s="8">
        <v>43636.379166666666</v>
      </c>
      <c r="C441" s="3" t="s">
        <v>501</v>
      </c>
      <c r="D441" s="3" t="s">
        <v>70</v>
      </c>
      <c r="E441" s="3" t="s">
        <v>71</v>
      </c>
      <c r="F441" s="3" t="s">
        <v>124</v>
      </c>
      <c r="G441" s="3" t="s">
        <v>29</v>
      </c>
      <c r="H441" s="3" t="s">
        <v>30</v>
      </c>
      <c r="I441" s="3" t="s">
        <v>31</v>
      </c>
      <c r="J441" s="3" t="s">
        <v>32</v>
      </c>
      <c r="K441" s="8">
        <v>43651.617361111108</v>
      </c>
      <c r="L441" s="8">
        <v>43636.879166666666</v>
      </c>
      <c r="M441" s="3">
        <v>0</v>
      </c>
      <c r="N441" s="3">
        <v>1</v>
      </c>
      <c r="O441" s="3" t="s">
        <v>33</v>
      </c>
      <c r="P441" s="10" t="s">
        <v>576</v>
      </c>
      <c r="Q441" s="3" t="s">
        <v>43</v>
      </c>
      <c r="R441" s="3">
        <v>16</v>
      </c>
      <c r="S441" s="3">
        <v>8</v>
      </c>
      <c r="T441" s="10" t="s">
        <v>576</v>
      </c>
      <c r="U441" s="10" t="s">
        <v>576</v>
      </c>
      <c r="V441" s="3" t="s">
        <v>37</v>
      </c>
      <c r="W441" s="11" cm="1">
        <f t="array" ref="W441">IF(H441="Request","No SLA for Request", IF(F441="Emergency",B441+(4/24), WORKDAY(B441, _xlfn.IFS(F441="High", 3, F441="Normal", 5, F441="Low", 10))))</f>
        <v>43643</v>
      </c>
      <c r="X441" t="str">
        <f t="shared" si="6"/>
        <v>Yes</v>
      </c>
    </row>
    <row r="442" spans="1:24" ht="12.75" x14ac:dyDescent="0.2">
      <c r="A442" s="3">
        <v>111228</v>
      </c>
      <c r="B442" s="8">
        <v>43626.603472222225</v>
      </c>
      <c r="C442" s="3" t="s">
        <v>502</v>
      </c>
      <c r="D442" s="3" t="s">
        <v>80</v>
      </c>
      <c r="E442" s="3" t="s">
        <v>81</v>
      </c>
      <c r="F442" s="3" t="s">
        <v>124</v>
      </c>
      <c r="G442" s="3" t="s">
        <v>29</v>
      </c>
      <c r="H442" s="3" t="s">
        <v>53</v>
      </c>
      <c r="I442" s="3" t="s">
        <v>31</v>
      </c>
      <c r="J442" s="3" t="s">
        <v>32</v>
      </c>
      <c r="K442" s="8">
        <v>43650.805555555555</v>
      </c>
      <c r="L442" s="8">
        <v>43627.103472222225</v>
      </c>
      <c r="M442" s="3">
        <v>0</v>
      </c>
      <c r="N442" s="3">
        <v>1</v>
      </c>
      <c r="O442" s="3" t="s">
        <v>33</v>
      </c>
      <c r="P442" s="10" t="s">
        <v>576</v>
      </c>
      <c r="Q442" s="3" t="s">
        <v>43</v>
      </c>
      <c r="R442" s="3">
        <v>4</v>
      </c>
      <c r="S442" s="3">
        <v>0</v>
      </c>
      <c r="T442" s="10" t="s">
        <v>576</v>
      </c>
      <c r="U442" s="10" t="s">
        <v>576</v>
      </c>
      <c r="V442" s="3" t="s">
        <v>37</v>
      </c>
      <c r="W442" s="11" t="str" cm="1">
        <f t="array" ref="W442">IF(H442="Request","No SLA for Request", IF(F442="Emergency",B442+(4/24), WORKDAY(B442, _xlfn.IFS(F442="High", 3, F442="Normal", 5, F442="Low", 10))))</f>
        <v>No SLA for Request</v>
      </c>
      <c r="X442" t="str">
        <f t="shared" si="6"/>
        <v>N/A</v>
      </c>
    </row>
    <row r="443" spans="1:24" ht="12.75" x14ac:dyDescent="0.2">
      <c r="A443" s="3">
        <v>111231</v>
      </c>
      <c r="B443" s="8">
        <v>43627.571527777778</v>
      </c>
      <c r="C443" s="3" t="s">
        <v>503</v>
      </c>
      <c r="D443" s="3" t="s">
        <v>82</v>
      </c>
      <c r="E443" s="3" t="s">
        <v>83</v>
      </c>
      <c r="F443" s="3" t="s">
        <v>124</v>
      </c>
      <c r="G443" s="3" t="s">
        <v>29</v>
      </c>
      <c r="H443" s="3" t="s">
        <v>30</v>
      </c>
      <c r="I443" s="3" t="s">
        <v>31</v>
      </c>
      <c r="J443" s="3" t="s">
        <v>32</v>
      </c>
      <c r="K443" s="8">
        <v>43647.728472222225</v>
      </c>
      <c r="L443" s="8">
        <v>43628.071527777778</v>
      </c>
      <c r="M443" s="3">
        <v>0</v>
      </c>
      <c r="N443" s="3">
        <v>1</v>
      </c>
      <c r="O443" s="3" t="s">
        <v>33</v>
      </c>
      <c r="P443" s="10" t="s">
        <v>576</v>
      </c>
      <c r="Q443" s="3" t="s">
        <v>43</v>
      </c>
      <c r="R443" s="3">
        <v>12</v>
      </c>
      <c r="S443" s="3">
        <v>3</v>
      </c>
      <c r="T443" s="10" t="s">
        <v>576</v>
      </c>
      <c r="U443" s="10" t="s">
        <v>576</v>
      </c>
      <c r="V443" s="3" t="s">
        <v>37</v>
      </c>
      <c r="W443" s="11" cm="1">
        <f t="array" ref="W443">IF(H443="Request","No SLA for Request", IF(F443="Emergency",B443+(4/24), WORKDAY(B443, _xlfn.IFS(F443="High", 3, F443="Normal", 5, F443="Low", 10))))</f>
        <v>43634</v>
      </c>
      <c r="X443" t="str">
        <f t="shared" si="6"/>
        <v>Yes</v>
      </c>
    </row>
    <row r="444" spans="1:24" ht="12.75" x14ac:dyDescent="0.2">
      <c r="A444" s="3">
        <v>111161</v>
      </c>
      <c r="B444" s="8">
        <v>43553.594444444447</v>
      </c>
      <c r="C444" s="3" t="s">
        <v>646</v>
      </c>
      <c r="D444" s="3" t="s">
        <v>78</v>
      </c>
      <c r="E444" s="3" t="s">
        <v>79</v>
      </c>
      <c r="F444" s="3" t="s">
        <v>124</v>
      </c>
      <c r="G444" s="3" t="s">
        <v>29</v>
      </c>
      <c r="H444" s="3" t="s">
        <v>30</v>
      </c>
      <c r="I444" s="3" t="s">
        <v>31</v>
      </c>
      <c r="J444" s="3" t="s">
        <v>32</v>
      </c>
      <c r="K444" s="8">
        <v>43647.727083333331</v>
      </c>
      <c r="L444" s="8">
        <v>43554.094444444447</v>
      </c>
      <c r="M444" s="3">
        <v>0</v>
      </c>
      <c r="N444" s="3">
        <v>1</v>
      </c>
      <c r="O444" s="3" t="s">
        <v>33</v>
      </c>
      <c r="P444" s="10" t="s">
        <v>576</v>
      </c>
      <c r="Q444" s="3" t="s">
        <v>43</v>
      </c>
      <c r="R444" s="3">
        <v>20</v>
      </c>
      <c r="S444" s="3">
        <v>9</v>
      </c>
      <c r="T444" s="10" t="s">
        <v>576</v>
      </c>
      <c r="U444" s="10" t="s">
        <v>576</v>
      </c>
      <c r="V444" s="3" t="s">
        <v>48</v>
      </c>
      <c r="W444" s="11" cm="1">
        <f t="array" ref="W444">IF(H444="Request","No SLA for Request", IF(F444="Emergency",B444+(4/24), WORKDAY(B444, _xlfn.IFS(F444="High", 3, F444="Normal", 5, F444="Low", 10))))</f>
        <v>43560</v>
      </c>
      <c r="X444" t="str">
        <f t="shared" si="6"/>
        <v>Yes</v>
      </c>
    </row>
    <row r="445" spans="1:24" ht="12.75" x14ac:dyDescent="0.2">
      <c r="A445" s="3">
        <v>111230</v>
      </c>
      <c r="B445" s="8">
        <v>43627.419444444444</v>
      </c>
      <c r="C445" s="3" t="s">
        <v>504</v>
      </c>
      <c r="D445" s="3" t="s">
        <v>78</v>
      </c>
      <c r="E445" s="3" t="s">
        <v>79</v>
      </c>
      <c r="F445" s="3" t="s">
        <v>124</v>
      </c>
      <c r="G445" s="3" t="s">
        <v>29</v>
      </c>
      <c r="H445" s="3" t="s">
        <v>30</v>
      </c>
      <c r="I445" s="3" t="s">
        <v>31</v>
      </c>
      <c r="J445" s="3" t="s">
        <v>32</v>
      </c>
      <c r="K445" s="8">
        <v>43644.717361111114</v>
      </c>
      <c r="L445" s="8">
        <v>43627.919444444444</v>
      </c>
      <c r="M445" s="3">
        <v>0</v>
      </c>
      <c r="N445" s="3">
        <v>1</v>
      </c>
      <c r="O445" s="3" t="s">
        <v>33</v>
      </c>
      <c r="P445" s="10" t="s">
        <v>576</v>
      </c>
      <c r="Q445" s="3" t="s">
        <v>43</v>
      </c>
      <c r="R445" s="3">
        <v>7</v>
      </c>
      <c r="S445" s="3">
        <v>1</v>
      </c>
      <c r="T445" s="10" t="s">
        <v>576</v>
      </c>
      <c r="U445" s="10" t="s">
        <v>576</v>
      </c>
      <c r="V445" s="3" t="s">
        <v>37</v>
      </c>
      <c r="W445" s="11" cm="1">
        <f t="array" ref="W445">IF(H445="Request","No SLA for Request", IF(F445="Emergency",B445+(4/24), WORKDAY(B445, _xlfn.IFS(F445="High", 3, F445="Normal", 5, F445="Low", 10))))</f>
        <v>43634</v>
      </c>
      <c r="X445" t="str">
        <f t="shared" si="6"/>
        <v>Yes</v>
      </c>
    </row>
    <row r="446" spans="1:24" ht="12.75" x14ac:dyDescent="0.2">
      <c r="A446" s="3">
        <v>111212</v>
      </c>
      <c r="B446" s="8">
        <v>43613.469444444447</v>
      </c>
      <c r="C446" s="3" t="s">
        <v>176</v>
      </c>
      <c r="D446" s="3" t="s">
        <v>49</v>
      </c>
      <c r="E446" s="3" t="s">
        <v>50</v>
      </c>
      <c r="F446" s="3" t="s">
        <v>124</v>
      </c>
      <c r="G446" s="3" t="s">
        <v>29</v>
      </c>
      <c r="H446" s="3" t="s">
        <v>53</v>
      </c>
      <c r="I446" s="3" t="s">
        <v>31</v>
      </c>
      <c r="J446" s="3" t="s">
        <v>32</v>
      </c>
      <c r="K446" s="8">
        <v>43637.759722222225</v>
      </c>
      <c r="L446" s="8">
        <v>43613.969444444447</v>
      </c>
      <c r="M446" s="3">
        <v>0</v>
      </c>
      <c r="N446" s="3">
        <v>1</v>
      </c>
      <c r="O446" s="3" t="s">
        <v>58</v>
      </c>
      <c r="P446" s="10" t="s">
        <v>576</v>
      </c>
      <c r="Q446" s="3" t="s">
        <v>34</v>
      </c>
      <c r="R446" s="3">
        <v>10</v>
      </c>
      <c r="S446" s="3">
        <v>0</v>
      </c>
      <c r="T446" s="10" t="s">
        <v>576</v>
      </c>
      <c r="U446" s="10" t="s">
        <v>576</v>
      </c>
      <c r="V446" s="3" t="s">
        <v>48</v>
      </c>
      <c r="W446" s="11" t="str" cm="1">
        <f t="array" ref="W446">IF(H446="Request","No SLA for Request", IF(F446="Emergency",B446+(4/24), WORKDAY(B446, _xlfn.IFS(F446="High", 3, F446="Normal", 5, F446="Low", 10))))</f>
        <v>No SLA for Request</v>
      </c>
      <c r="X446" t="str">
        <f t="shared" si="6"/>
        <v>N/A</v>
      </c>
    </row>
    <row r="447" spans="1:24" ht="12.75" x14ac:dyDescent="0.2">
      <c r="A447" s="3">
        <v>111106</v>
      </c>
      <c r="B447" s="8">
        <v>43497.037499999999</v>
      </c>
      <c r="C447" s="3" t="s">
        <v>505</v>
      </c>
      <c r="D447" s="3" t="s">
        <v>177</v>
      </c>
      <c r="E447" s="3" t="s">
        <v>178</v>
      </c>
      <c r="F447" s="3" t="s">
        <v>124</v>
      </c>
      <c r="G447" s="3" t="s">
        <v>29</v>
      </c>
      <c r="H447" s="3" t="s">
        <v>53</v>
      </c>
      <c r="I447" s="3" t="s">
        <v>61</v>
      </c>
      <c r="J447" s="3" t="s">
        <v>32</v>
      </c>
      <c r="K447" s="8">
        <v>43637.757638888892</v>
      </c>
      <c r="L447" s="8">
        <v>43497.537499999999</v>
      </c>
      <c r="M447" s="3">
        <v>0</v>
      </c>
      <c r="N447" s="3">
        <v>1</v>
      </c>
      <c r="O447" s="3" t="s">
        <v>58</v>
      </c>
      <c r="P447" s="10" t="s">
        <v>576</v>
      </c>
      <c r="Q447" s="3" t="s">
        <v>34</v>
      </c>
      <c r="R447" s="3">
        <v>7</v>
      </c>
      <c r="S447" s="3">
        <v>1</v>
      </c>
      <c r="T447" s="10" t="s">
        <v>576</v>
      </c>
      <c r="U447" s="10" t="s">
        <v>576</v>
      </c>
      <c r="V447" s="3" t="s">
        <v>48</v>
      </c>
      <c r="W447" s="11" t="str" cm="1">
        <f t="array" ref="W447">IF(H447="Request","No SLA for Request", IF(F447="Emergency",B447+(4/24), WORKDAY(B447, _xlfn.IFS(F447="High", 3, F447="Normal", 5, F447="Low", 10))))</f>
        <v>No SLA for Request</v>
      </c>
      <c r="X447" t="str">
        <f t="shared" si="6"/>
        <v>N/A</v>
      </c>
    </row>
    <row r="448" spans="1:24" ht="12.75" x14ac:dyDescent="0.2">
      <c r="A448" s="3">
        <v>111235</v>
      </c>
      <c r="B448" s="8">
        <v>43635.50277777778</v>
      </c>
      <c r="C448" s="3" t="s">
        <v>350</v>
      </c>
      <c r="D448" s="3" t="s">
        <v>78</v>
      </c>
      <c r="E448" s="3" t="s">
        <v>79</v>
      </c>
      <c r="F448" s="3" t="s">
        <v>124</v>
      </c>
      <c r="G448" s="3" t="s">
        <v>29</v>
      </c>
      <c r="H448" s="3" t="s">
        <v>53</v>
      </c>
      <c r="I448" s="3" t="s">
        <v>31</v>
      </c>
      <c r="J448" s="3" t="s">
        <v>32</v>
      </c>
      <c r="K448" s="8">
        <v>43637.574305555558</v>
      </c>
      <c r="L448" s="8">
        <v>43636.00277777778</v>
      </c>
      <c r="M448" s="3">
        <v>0</v>
      </c>
      <c r="N448" s="3">
        <v>1</v>
      </c>
      <c r="O448" s="3" t="s">
        <v>33</v>
      </c>
      <c r="P448" s="10" t="s">
        <v>576</v>
      </c>
      <c r="Q448" s="3" t="s">
        <v>43</v>
      </c>
      <c r="R448" s="3">
        <v>7</v>
      </c>
      <c r="S448" s="3">
        <v>0</v>
      </c>
      <c r="T448" s="10" t="s">
        <v>576</v>
      </c>
      <c r="U448" s="10" t="s">
        <v>576</v>
      </c>
      <c r="V448" s="3" t="s">
        <v>48</v>
      </c>
      <c r="W448" s="11" t="str" cm="1">
        <f t="array" ref="W448">IF(H448="Request","No SLA for Request", IF(F448="Emergency",B448+(4/24), WORKDAY(B448, _xlfn.IFS(F448="High", 3, F448="Normal", 5, F448="Low", 10))))</f>
        <v>No SLA for Request</v>
      </c>
      <c r="X448" t="str">
        <f t="shared" si="6"/>
        <v>N/A</v>
      </c>
    </row>
    <row r="449" spans="1:24" ht="12.75" x14ac:dyDescent="0.2">
      <c r="A449" s="3">
        <v>111232</v>
      </c>
      <c r="B449" s="8">
        <v>43627.6</v>
      </c>
      <c r="C449" s="3" t="s">
        <v>506</v>
      </c>
      <c r="D449" s="3" t="s">
        <v>26</v>
      </c>
      <c r="E449" s="3" t="s">
        <v>27</v>
      </c>
      <c r="F449" s="3" t="s">
        <v>124</v>
      </c>
      <c r="G449" s="3" t="s">
        <v>29</v>
      </c>
      <c r="H449" s="3" t="s">
        <v>53</v>
      </c>
      <c r="I449" s="3" t="s">
        <v>31</v>
      </c>
      <c r="J449" s="3" t="s">
        <v>32</v>
      </c>
      <c r="K449" s="8">
        <v>43635.762499999997</v>
      </c>
      <c r="L449" s="8">
        <v>43628.1</v>
      </c>
      <c r="M449" s="3">
        <v>0</v>
      </c>
      <c r="N449" s="3">
        <v>1</v>
      </c>
      <c r="O449" s="3" t="s">
        <v>33</v>
      </c>
      <c r="P449" s="10" t="s">
        <v>576</v>
      </c>
      <c r="Q449" s="3" t="s">
        <v>34</v>
      </c>
      <c r="R449" s="3">
        <v>12</v>
      </c>
      <c r="S449" s="3">
        <v>2</v>
      </c>
      <c r="T449" s="10" t="s">
        <v>576</v>
      </c>
      <c r="U449" s="10" t="s">
        <v>576</v>
      </c>
      <c r="V449" s="3" t="s">
        <v>37</v>
      </c>
      <c r="W449" s="11" t="str" cm="1">
        <f t="array" ref="W449">IF(H449="Request","No SLA for Request", IF(F449="Emergency",B449+(4/24), WORKDAY(B449, _xlfn.IFS(F449="High", 3, F449="Normal", 5, F449="Low", 10))))</f>
        <v>No SLA for Request</v>
      </c>
      <c r="X449" t="str">
        <f t="shared" si="6"/>
        <v>N/A</v>
      </c>
    </row>
    <row r="450" spans="1:24" ht="12.75" x14ac:dyDescent="0.2">
      <c r="A450" s="3">
        <v>111226</v>
      </c>
      <c r="B450" s="8">
        <v>43622.376388888886</v>
      </c>
      <c r="C450" s="3" t="s">
        <v>507</v>
      </c>
      <c r="D450" s="3" t="s">
        <v>82</v>
      </c>
      <c r="E450" s="3" t="s">
        <v>83</v>
      </c>
      <c r="F450" s="3" t="s">
        <v>124</v>
      </c>
      <c r="G450" s="3" t="s">
        <v>29</v>
      </c>
      <c r="H450" s="3" t="s">
        <v>30</v>
      </c>
      <c r="I450" s="3" t="s">
        <v>31</v>
      </c>
      <c r="J450" s="3" t="s">
        <v>32</v>
      </c>
      <c r="K450" s="8">
        <v>43635.759027777778</v>
      </c>
      <c r="L450" s="8">
        <v>43635.75</v>
      </c>
      <c r="M450" s="3">
        <v>0</v>
      </c>
      <c r="N450" s="3">
        <v>1</v>
      </c>
      <c r="O450" s="3" t="s">
        <v>33</v>
      </c>
      <c r="P450" s="10" t="s">
        <v>576</v>
      </c>
      <c r="Q450" s="3" t="s">
        <v>43</v>
      </c>
      <c r="R450" s="3">
        <v>17</v>
      </c>
      <c r="S450" s="3">
        <v>8</v>
      </c>
      <c r="T450" s="10" t="s">
        <v>576</v>
      </c>
      <c r="U450" s="10" t="s">
        <v>576</v>
      </c>
      <c r="V450" s="3" t="s">
        <v>37</v>
      </c>
      <c r="W450" s="11" cm="1">
        <f t="array" ref="W450">IF(H450="Request","No SLA for Request", IF(F450="Emergency",B450+(4/24), WORKDAY(B450, _xlfn.IFS(F450="High", 3, F450="Normal", 5, F450="Low", 10))))</f>
        <v>43629</v>
      </c>
      <c r="X450" t="str">
        <f t="shared" si="6"/>
        <v>Yes</v>
      </c>
    </row>
    <row r="451" spans="1:24" ht="12.75" x14ac:dyDescent="0.2">
      <c r="A451" s="3">
        <v>111229</v>
      </c>
      <c r="B451" s="8">
        <v>43627.359722222223</v>
      </c>
      <c r="C451" s="3" t="s">
        <v>508</v>
      </c>
      <c r="D451" s="3" t="s">
        <v>82</v>
      </c>
      <c r="E451" s="3" t="s">
        <v>83</v>
      </c>
      <c r="F451" s="3" t="s">
        <v>124</v>
      </c>
      <c r="G451" s="3" t="s">
        <v>29</v>
      </c>
      <c r="H451" s="3" t="s">
        <v>53</v>
      </c>
      <c r="I451" s="3" t="s">
        <v>31</v>
      </c>
      <c r="J451" s="3" t="s">
        <v>32</v>
      </c>
      <c r="K451" s="8">
        <v>43629.734722222223</v>
      </c>
      <c r="L451" s="8">
        <v>43627.859722222223</v>
      </c>
      <c r="M451" s="3">
        <v>0</v>
      </c>
      <c r="N451" s="3">
        <v>1</v>
      </c>
      <c r="O451" s="3" t="s">
        <v>33</v>
      </c>
      <c r="P451" s="10" t="s">
        <v>576</v>
      </c>
      <c r="Q451" s="3" t="s">
        <v>43</v>
      </c>
      <c r="R451" s="3">
        <v>11</v>
      </c>
      <c r="S451" s="3">
        <v>0</v>
      </c>
      <c r="T451" s="10" t="s">
        <v>576</v>
      </c>
      <c r="U451" s="10" t="s">
        <v>576</v>
      </c>
      <c r="V451" s="3" t="s">
        <v>37</v>
      </c>
      <c r="W451" s="11" t="str" cm="1">
        <f t="array" ref="W451">IF(H451="Request","No SLA for Request", IF(F451="Emergency",B451+(4/24), WORKDAY(B451, _xlfn.IFS(F451="High", 3, F451="Normal", 5, F451="Low", 10))))</f>
        <v>No SLA for Request</v>
      </c>
      <c r="X451" t="str">
        <f t="shared" ref="X451:X514" si="7">IF(K451&gt;=W451,"Yes",IF(W451="No SLA for Request","N/A","No"))</f>
        <v>N/A</v>
      </c>
    </row>
    <row r="452" spans="1:24" ht="12.75" x14ac:dyDescent="0.2">
      <c r="A452" s="3">
        <v>111223</v>
      </c>
      <c r="B452" s="8">
        <v>43620.411805555559</v>
      </c>
      <c r="C452" s="3" t="s">
        <v>179</v>
      </c>
      <c r="D452" s="3" t="s">
        <v>49</v>
      </c>
      <c r="E452" s="3" t="s">
        <v>50</v>
      </c>
      <c r="F452" s="3" t="s">
        <v>124</v>
      </c>
      <c r="G452" s="3" t="s">
        <v>29</v>
      </c>
      <c r="H452" s="3" t="s">
        <v>53</v>
      </c>
      <c r="I452" s="3" t="s">
        <v>31</v>
      </c>
      <c r="J452" s="3" t="s">
        <v>32</v>
      </c>
      <c r="K452" s="8">
        <v>43626.620138888888</v>
      </c>
      <c r="L452" s="8">
        <v>43620.911805555559</v>
      </c>
      <c r="M452" s="3">
        <v>0</v>
      </c>
      <c r="N452" s="3">
        <v>1</v>
      </c>
      <c r="O452" s="3" t="s">
        <v>33</v>
      </c>
      <c r="P452" s="10" t="s">
        <v>576</v>
      </c>
      <c r="Q452" s="3" t="s">
        <v>34</v>
      </c>
      <c r="R452" s="3">
        <v>9</v>
      </c>
      <c r="S452" s="3">
        <v>0</v>
      </c>
      <c r="T452" s="10" t="s">
        <v>576</v>
      </c>
      <c r="U452" s="10" t="s">
        <v>576</v>
      </c>
      <c r="V452" s="3" t="s">
        <v>48</v>
      </c>
      <c r="W452" s="11" t="str" cm="1">
        <f t="array" ref="W452">IF(H452="Request","No SLA for Request", IF(F452="Emergency",B452+(4/24), WORKDAY(B452, _xlfn.IFS(F452="High", 3, F452="Normal", 5, F452="Low", 10))))</f>
        <v>No SLA for Request</v>
      </c>
      <c r="X452" t="str">
        <f t="shared" si="7"/>
        <v>N/A</v>
      </c>
    </row>
    <row r="453" spans="1:24" ht="12.75" x14ac:dyDescent="0.2">
      <c r="A453" s="3">
        <v>111191</v>
      </c>
      <c r="B453" s="8">
        <v>43587.361111111109</v>
      </c>
      <c r="C453" s="3" t="s">
        <v>509</v>
      </c>
      <c r="D453" s="3" t="s">
        <v>80</v>
      </c>
      <c r="E453" s="3" t="s">
        <v>81</v>
      </c>
      <c r="F453" s="3" t="s">
        <v>124</v>
      </c>
      <c r="G453" s="3" t="s">
        <v>29</v>
      </c>
      <c r="H453" s="3" t="s">
        <v>30</v>
      </c>
      <c r="I453" s="3" t="s">
        <v>31</v>
      </c>
      <c r="J453" s="3" t="s">
        <v>32</v>
      </c>
      <c r="K453" s="8">
        <v>43623.734722222223</v>
      </c>
      <c r="L453" s="12" t="s">
        <v>576</v>
      </c>
      <c r="M453" s="3">
        <v>0</v>
      </c>
      <c r="N453" s="3">
        <v>1</v>
      </c>
      <c r="O453" s="3" t="s">
        <v>33</v>
      </c>
      <c r="P453" s="10" t="s">
        <v>576</v>
      </c>
      <c r="Q453" s="3" t="s">
        <v>43</v>
      </c>
      <c r="R453" s="3">
        <v>15</v>
      </c>
      <c r="S453" s="3">
        <v>2</v>
      </c>
      <c r="T453" s="10" t="s">
        <v>576</v>
      </c>
      <c r="U453" s="10" t="s">
        <v>576</v>
      </c>
      <c r="V453" s="3" t="s">
        <v>37</v>
      </c>
      <c r="W453" s="11" cm="1">
        <f t="array" ref="W453">IF(H453="Request","No SLA for Request", IF(F453="Emergency",B453+(4/24), WORKDAY(B453, _xlfn.IFS(F453="High", 3, F453="Normal", 5, F453="Low", 10))))</f>
        <v>43594</v>
      </c>
      <c r="X453" t="str">
        <f t="shared" si="7"/>
        <v>Yes</v>
      </c>
    </row>
    <row r="454" spans="1:24" ht="12.75" x14ac:dyDescent="0.2">
      <c r="A454" s="3">
        <v>111200</v>
      </c>
      <c r="B454" s="8">
        <v>43599.445833333331</v>
      </c>
      <c r="C454" s="3" t="s">
        <v>647</v>
      </c>
      <c r="D454" s="3" t="s">
        <v>73</v>
      </c>
      <c r="E454" s="3" t="s">
        <v>74</v>
      </c>
      <c r="F454" s="3" t="s">
        <v>124</v>
      </c>
      <c r="G454" s="3" t="s">
        <v>29</v>
      </c>
      <c r="H454" s="3" t="s">
        <v>30</v>
      </c>
      <c r="I454" s="3" t="s">
        <v>31</v>
      </c>
      <c r="J454" s="3" t="s">
        <v>32</v>
      </c>
      <c r="K454" s="8">
        <v>43619.746527777781</v>
      </c>
      <c r="L454" s="8">
        <v>43599.945833333331</v>
      </c>
      <c r="M454" s="3">
        <v>0</v>
      </c>
      <c r="N454" s="3">
        <v>1</v>
      </c>
      <c r="O454" s="3" t="s">
        <v>33</v>
      </c>
      <c r="P454" s="10" t="s">
        <v>576</v>
      </c>
      <c r="Q454" s="3" t="s">
        <v>34</v>
      </c>
      <c r="R454" s="3">
        <v>25</v>
      </c>
      <c r="S454" s="3">
        <v>3</v>
      </c>
      <c r="T454" s="10" t="s">
        <v>576</v>
      </c>
      <c r="U454" s="10" t="s">
        <v>576</v>
      </c>
      <c r="V454" s="3" t="s">
        <v>48</v>
      </c>
      <c r="W454" s="11" cm="1">
        <f t="array" ref="W454">IF(H454="Request","No SLA for Request", IF(F454="Emergency",B454+(4/24), WORKDAY(B454, _xlfn.IFS(F454="High", 3, F454="Normal", 5, F454="Low", 10))))</f>
        <v>43606</v>
      </c>
      <c r="X454" t="str">
        <f t="shared" si="7"/>
        <v>Yes</v>
      </c>
    </row>
    <row r="455" spans="1:24" ht="12.75" x14ac:dyDescent="0.2">
      <c r="A455" s="3">
        <v>111192</v>
      </c>
      <c r="B455" s="8">
        <v>43588.470138888886</v>
      </c>
      <c r="C455" s="3" t="s">
        <v>510</v>
      </c>
      <c r="D455" s="3" t="s">
        <v>78</v>
      </c>
      <c r="E455" s="3" t="s">
        <v>79</v>
      </c>
      <c r="F455" s="3" t="s">
        <v>124</v>
      </c>
      <c r="G455" s="3" t="s">
        <v>29</v>
      </c>
      <c r="H455" s="3" t="s">
        <v>30</v>
      </c>
      <c r="I455" s="3" t="s">
        <v>31</v>
      </c>
      <c r="J455" s="3" t="s">
        <v>32</v>
      </c>
      <c r="K455" s="8">
        <v>43619.727083333331</v>
      </c>
      <c r="L455" s="8">
        <v>43588.970138888886</v>
      </c>
      <c r="M455" s="3">
        <v>0</v>
      </c>
      <c r="N455" s="3">
        <v>1</v>
      </c>
      <c r="O455" s="3" t="s">
        <v>33</v>
      </c>
      <c r="P455" s="10" t="s">
        <v>576</v>
      </c>
      <c r="Q455" s="3" t="s">
        <v>43</v>
      </c>
      <c r="R455" s="3">
        <v>23</v>
      </c>
      <c r="S455" s="3">
        <v>4</v>
      </c>
      <c r="T455" s="10" t="s">
        <v>576</v>
      </c>
      <c r="U455" s="10" t="s">
        <v>576</v>
      </c>
      <c r="V455" s="3" t="s">
        <v>37</v>
      </c>
      <c r="W455" s="11" cm="1">
        <f t="array" ref="W455">IF(H455="Request","No SLA for Request", IF(F455="Emergency",B455+(4/24), WORKDAY(B455, _xlfn.IFS(F455="High", 3, F455="Normal", 5, F455="Low", 10))))</f>
        <v>43595</v>
      </c>
      <c r="X455" t="str">
        <f t="shared" si="7"/>
        <v>Yes</v>
      </c>
    </row>
    <row r="456" spans="1:24" ht="12.75" x14ac:dyDescent="0.2">
      <c r="A456" s="3">
        <v>111213</v>
      </c>
      <c r="B456" s="8">
        <v>43613.570833333331</v>
      </c>
      <c r="C456" s="3" t="s">
        <v>511</v>
      </c>
      <c r="D456" s="3" t="s">
        <v>180</v>
      </c>
      <c r="E456" s="3" t="s">
        <v>648</v>
      </c>
      <c r="F456" s="3" t="s">
        <v>124</v>
      </c>
      <c r="G456" s="3" t="s">
        <v>29</v>
      </c>
      <c r="H456" s="3" t="s">
        <v>53</v>
      </c>
      <c r="I456" s="3" t="s">
        <v>31</v>
      </c>
      <c r="J456" s="3" t="s">
        <v>32</v>
      </c>
      <c r="K456" s="8">
        <v>43616.745138888888</v>
      </c>
      <c r="L456" s="8">
        <v>43614.070833333331</v>
      </c>
      <c r="M456" s="3">
        <v>0</v>
      </c>
      <c r="N456" s="3">
        <v>1</v>
      </c>
      <c r="O456" s="3" t="s">
        <v>58</v>
      </c>
      <c r="P456" s="10" t="s">
        <v>576</v>
      </c>
      <c r="Q456" s="3" t="s">
        <v>43</v>
      </c>
      <c r="R456" s="3">
        <v>14</v>
      </c>
      <c r="S456" s="3">
        <v>1</v>
      </c>
      <c r="T456" s="10" t="s">
        <v>576</v>
      </c>
      <c r="U456" s="10" t="s">
        <v>576</v>
      </c>
      <c r="V456" s="3" t="s">
        <v>48</v>
      </c>
      <c r="W456" s="11" t="str" cm="1">
        <f t="array" ref="W456">IF(H456="Request","No SLA for Request", IF(F456="Emergency",B456+(4/24), WORKDAY(B456, _xlfn.IFS(F456="High", 3, F456="Normal", 5, F456="Low", 10))))</f>
        <v>No SLA for Request</v>
      </c>
      <c r="X456" t="str">
        <f t="shared" si="7"/>
        <v>N/A</v>
      </c>
    </row>
    <row r="457" spans="1:24" ht="12.75" x14ac:dyDescent="0.2">
      <c r="A457" s="3">
        <v>111195</v>
      </c>
      <c r="B457" s="8">
        <v>43592.375</v>
      </c>
      <c r="C457" s="3" t="s">
        <v>512</v>
      </c>
      <c r="D457" s="3" t="s">
        <v>82</v>
      </c>
      <c r="E457" s="3" t="s">
        <v>83</v>
      </c>
      <c r="F457" s="3" t="s">
        <v>124</v>
      </c>
      <c r="G457" s="3" t="s">
        <v>29</v>
      </c>
      <c r="H457" s="3" t="s">
        <v>53</v>
      </c>
      <c r="I457" s="3" t="s">
        <v>31</v>
      </c>
      <c r="J457" s="3" t="s">
        <v>32</v>
      </c>
      <c r="K457" s="8">
        <v>43614.627083333333</v>
      </c>
      <c r="L457" s="8">
        <v>43592.875</v>
      </c>
      <c r="M457" s="3">
        <v>0</v>
      </c>
      <c r="N457" s="3">
        <v>1</v>
      </c>
      <c r="O457" s="3" t="s">
        <v>33</v>
      </c>
      <c r="P457" s="10" t="s">
        <v>576</v>
      </c>
      <c r="Q457" s="3" t="s">
        <v>43</v>
      </c>
      <c r="R457" s="3">
        <v>17</v>
      </c>
      <c r="S457" s="3">
        <v>4</v>
      </c>
      <c r="T457" s="10" t="s">
        <v>576</v>
      </c>
      <c r="U457" s="10" t="s">
        <v>576</v>
      </c>
      <c r="V457" s="3" t="s">
        <v>37</v>
      </c>
      <c r="W457" s="11" t="str" cm="1">
        <f t="array" ref="W457">IF(H457="Request","No SLA for Request", IF(F457="Emergency",B457+(4/24), WORKDAY(B457, _xlfn.IFS(F457="High", 3, F457="Normal", 5, F457="Low", 10))))</f>
        <v>No SLA for Request</v>
      </c>
      <c r="X457" t="str">
        <f t="shared" si="7"/>
        <v>N/A</v>
      </c>
    </row>
    <row r="458" spans="1:24" ht="12.75" x14ac:dyDescent="0.2">
      <c r="A458" s="3">
        <v>111204</v>
      </c>
      <c r="B458" s="8">
        <v>43602.463194444441</v>
      </c>
      <c r="C458" s="3" t="s">
        <v>513</v>
      </c>
      <c r="D458" s="3" t="s">
        <v>26</v>
      </c>
      <c r="E458" s="3" t="s">
        <v>27</v>
      </c>
      <c r="F458" s="3" t="s">
        <v>124</v>
      </c>
      <c r="G458" s="3" t="s">
        <v>29</v>
      </c>
      <c r="H458" s="3" t="s">
        <v>53</v>
      </c>
      <c r="I458" s="3" t="s">
        <v>31</v>
      </c>
      <c r="J458" s="3" t="s">
        <v>32</v>
      </c>
      <c r="K458" s="8">
        <v>43613.557638888888</v>
      </c>
      <c r="L458" s="8">
        <v>43602.963194444441</v>
      </c>
      <c r="M458" s="3">
        <v>0</v>
      </c>
      <c r="N458" s="3">
        <v>1</v>
      </c>
      <c r="O458" s="3" t="s">
        <v>33</v>
      </c>
      <c r="P458" s="10" t="s">
        <v>576</v>
      </c>
      <c r="Q458" s="3" t="s">
        <v>34</v>
      </c>
      <c r="R458" s="3">
        <v>15</v>
      </c>
      <c r="S458" s="3">
        <v>0</v>
      </c>
      <c r="T458" s="10" t="s">
        <v>576</v>
      </c>
      <c r="U458" s="10" t="s">
        <v>576</v>
      </c>
      <c r="V458" s="3" t="s">
        <v>48</v>
      </c>
      <c r="W458" s="11" t="str" cm="1">
        <f t="array" ref="W458">IF(H458="Request","No SLA for Request", IF(F458="Emergency",B458+(4/24), WORKDAY(B458, _xlfn.IFS(F458="High", 3, F458="Normal", 5, F458="Low", 10))))</f>
        <v>No SLA for Request</v>
      </c>
      <c r="X458" t="str">
        <f t="shared" si="7"/>
        <v>N/A</v>
      </c>
    </row>
    <row r="459" spans="1:24" ht="12.75" x14ac:dyDescent="0.2">
      <c r="A459" s="3">
        <v>111165</v>
      </c>
      <c r="B459" s="8">
        <v>43557.703472222223</v>
      </c>
      <c r="C459" s="3" t="s">
        <v>514</v>
      </c>
      <c r="D459" s="3" t="s">
        <v>603</v>
      </c>
      <c r="E459" s="3" t="s">
        <v>604</v>
      </c>
      <c r="F459" s="3" t="s">
        <v>124</v>
      </c>
      <c r="G459" s="3" t="s">
        <v>29</v>
      </c>
      <c r="H459" s="3" t="s">
        <v>30</v>
      </c>
      <c r="I459" s="3" t="s">
        <v>31</v>
      </c>
      <c r="J459" s="3" t="s">
        <v>32</v>
      </c>
      <c r="K459" s="8">
        <v>43606.759722222225</v>
      </c>
      <c r="L459" s="12" t="s">
        <v>576</v>
      </c>
      <c r="M459" s="3">
        <v>0</v>
      </c>
      <c r="N459" s="3">
        <v>1</v>
      </c>
      <c r="O459" s="3" t="s">
        <v>33</v>
      </c>
      <c r="P459" s="10" t="s">
        <v>576</v>
      </c>
      <c r="Q459" s="3" t="s">
        <v>34</v>
      </c>
      <c r="R459" s="3">
        <v>23</v>
      </c>
      <c r="S459" s="3">
        <v>3</v>
      </c>
      <c r="T459" s="10" t="s">
        <v>576</v>
      </c>
      <c r="U459" s="10" t="s">
        <v>576</v>
      </c>
      <c r="V459" s="3" t="s">
        <v>37</v>
      </c>
      <c r="W459" s="11" cm="1">
        <f t="array" ref="W459">IF(H459="Request","No SLA for Request", IF(F459="Emergency",B459+(4/24), WORKDAY(B459, _xlfn.IFS(F459="High", 3, F459="Normal", 5, F459="Low", 10))))</f>
        <v>43564</v>
      </c>
      <c r="X459" t="str">
        <f t="shared" si="7"/>
        <v>Yes</v>
      </c>
    </row>
    <row r="460" spans="1:24" ht="12.75" x14ac:dyDescent="0.2">
      <c r="A460" s="3">
        <v>111179</v>
      </c>
      <c r="B460" s="8">
        <v>43572.544444444444</v>
      </c>
      <c r="C460" s="3" t="s">
        <v>515</v>
      </c>
      <c r="D460" s="3" t="s">
        <v>82</v>
      </c>
      <c r="E460" s="3" t="s">
        <v>83</v>
      </c>
      <c r="F460" s="3" t="s">
        <v>124</v>
      </c>
      <c r="G460" s="3" t="s">
        <v>29</v>
      </c>
      <c r="H460" s="3" t="s">
        <v>30</v>
      </c>
      <c r="I460" s="3" t="s">
        <v>31</v>
      </c>
      <c r="J460" s="3" t="s">
        <v>32</v>
      </c>
      <c r="K460" s="8">
        <v>43594.720833333333</v>
      </c>
      <c r="L460" s="8">
        <v>43573.044444444444</v>
      </c>
      <c r="M460" s="3">
        <v>0</v>
      </c>
      <c r="N460" s="3">
        <v>1</v>
      </c>
      <c r="O460" s="3" t="s">
        <v>33</v>
      </c>
      <c r="P460" s="10" t="s">
        <v>576</v>
      </c>
      <c r="Q460" s="3" t="s">
        <v>43</v>
      </c>
      <c r="R460" s="3">
        <v>34</v>
      </c>
      <c r="S460" s="3">
        <v>5</v>
      </c>
      <c r="T460" s="10" t="s">
        <v>576</v>
      </c>
      <c r="U460" s="10" t="s">
        <v>576</v>
      </c>
      <c r="V460" s="3" t="s">
        <v>37</v>
      </c>
      <c r="W460" s="11" cm="1">
        <f t="array" ref="W460">IF(H460="Request","No SLA for Request", IF(F460="Emergency",B460+(4/24), WORKDAY(B460, _xlfn.IFS(F460="High", 3, F460="Normal", 5, F460="Low", 10))))</f>
        <v>43579</v>
      </c>
      <c r="X460" t="str">
        <f t="shared" si="7"/>
        <v>Yes</v>
      </c>
    </row>
    <row r="461" spans="1:24" ht="12.75" x14ac:dyDescent="0.2">
      <c r="A461" s="3">
        <v>111176</v>
      </c>
      <c r="B461" s="8">
        <v>43567.497916666667</v>
      </c>
      <c r="C461" s="3" t="s">
        <v>181</v>
      </c>
      <c r="D461" s="3" t="s">
        <v>90</v>
      </c>
      <c r="E461" s="3" t="s">
        <v>91</v>
      </c>
      <c r="F461" s="3" t="s">
        <v>124</v>
      </c>
      <c r="G461" s="3" t="s">
        <v>29</v>
      </c>
      <c r="H461" s="3" t="s">
        <v>30</v>
      </c>
      <c r="I461" s="3" t="s">
        <v>31</v>
      </c>
      <c r="J461" s="3" t="s">
        <v>32</v>
      </c>
      <c r="K461" s="8">
        <v>43594.71875</v>
      </c>
      <c r="L461" s="8">
        <v>43591.708333333336</v>
      </c>
      <c r="M461" s="3">
        <v>0</v>
      </c>
      <c r="N461" s="3">
        <v>1</v>
      </c>
      <c r="O461" s="3" t="s">
        <v>33</v>
      </c>
      <c r="P461" s="10" t="s">
        <v>576</v>
      </c>
      <c r="Q461" s="3" t="s">
        <v>43</v>
      </c>
      <c r="R461" s="3">
        <v>37</v>
      </c>
      <c r="S461" s="3">
        <v>1</v>
      </c>
      <c r="T461" s="10" t="s">
        <v>576</v>
      </c>
      <c r="U461" s="10" t="s">
        <v>576</v>
      </c>
      <c r="V461" s="3" t="s">
        <v>37</v>
      </c>
      <c r="W461" s="11" cm="1">
        <f t="array" ref="W461">IF(H461="Request","No SLA for Request", IF(F461="Emergency",B461+(4/24), WORKDAY(B461, _xlfn.IFS(F461="High", 3, F461="Normal", 5, F461="Low", 10))))</f>
        <v>43574</v>
      </c>
      <c r="X461" t="str">
        <f t="shared" si="7"/>
        <v>Yes</v>
      </c>
    </row>
    <row r="462" spans="1:24" ht="12.75" x14ac:dyDescent="0.2">
      <c r="A462" s="3">
        <v>111175</v>
      </c>
      <c r="B462" s="8">
        <v>43566.444444444445</v>
      </c>
      <c r="C462" s="3" t="s">
        <v>516</v>
      </c>
      <c r="D462" s="3" t="s">
        <v>78</v>
      </c>
      <c r="E462" s="3" t="s">
        <v>79</v>
      </c>
      <c r="F462" s="3" t="s">
        <v>124</v>
      </c>
      <c r="G462" s="3" t="s">
        <v>29</v>
      </c>
      <c r="H462" s="3" t="s">
        <v>30</v>
      </c>
      <c r="I462" s="3" t="s">
        <v>31</v>
      </c>
      <c r="J462" s="3" t="s">
        <v>32</v>
      </c>
      <c r="K462" s="8">
        <v>43591.780555555553</v>
      </c>
      <c r="L462" s="8">
        <v>43566.944444444445</v>
      </c>
      <c r="M462" s="3">
        <v>0</v>
      </c>
      <c r="N462" s="3">
        <v>1</v>
      </c>
      <c r="O462" s="3" t="s">
        <v>33</v>
      </c>
      <c r="P462" s="10" t="s">
        <v>576</v>
      </c>
      <c r="Q462" s="3" t="s">
        <v>43</v>
      </c>
      <c r="R462" s="3">
        <v>8</v>
      </c>
      <c r="S462" s="3">
        <v>3</v>
      </c>
      <c r="T462" s="10" t="s">
        <v>576</v>
      </c>
      <c r="U462" s="10" t="s">
        <v>576</v>
      </c>
      <c r="V462" s="3" t="s">
        <v>48</v>
      </c>
      <c r="W462" s="11" cm="1">
        <f t="array" ref="W462">IF(H462="Request","No SLA for Request", IF(F462="Emergency",B462+(4/24), WORKDAY(B462, _xlfn.IFS(F462="High", 3, F462="Normal", 5, F462="Low", 10))))</f>
        <v>43573</v>
      </c>
      <c r="X462" t="str">
        <f t="shared" si="7"/>
        <v>Yes</v>
      </c>
    </row>
    <row r="463" spans="1:24" ht="12.75" x14ac:dyDescent="0.2">
      <c r="A463" s="3">
        <v>111164</v>
      </c>
      <c r="B463" s="8">
        <v>43557.661111111112</v>
      </c>
      <c r="C463" s="3" t="s">
        <v>517</v>
      </c>
      <c r="D463" s="3" t="s">
        <v>78</v>
      </c>
      <c r="E463" s="3" t="s">
        <v>79</v>
      </c>
      <c r="F463" s="3" t="s">
        <v>124</v>
      </c>
      <c r="G463" s="3" t="s">
        <v>29</v>
      </c>
      <c r="H463" s="3" t="s">
        <v>30</v>
      </c>
      <c r="I463" s="3" t="s">
        <v>31</v>
      </c>
      <c r="J463" s="3" t="s">
        <v>32</v>
      </c>
      <c r="K463" s="8">
        <v>43588.719444444447</v>
      </c>
      <c r="L463" s="8">
        <v>43558.161111111112</v>
      </c>
      <c r="M463" s="3">
        <v>0</v>
      </c>
      <c r="N463" s="3">
        <v>1</v>
      </c>
      <c r="O463" s="3" t="s">
        <v>33</v>
      </c>
      <c r="P463" s="10" t="s">
        <v>576</v>
      </c>
      <c r="Q463" s="3" t="s">
        <v>43</v>
      </c>
      <c r="R463" s="3">
        <v>13</v>
      </c>
      <c r="S463" s="3">
        <v>4</v>
      </c>
      <c r="T463" s="10" t="s">
        <v>576</v>
      </c>
      <c r="U463" s="10" t="s">
        <v>576</v>
      </c>
      <c r="V463" s="3" t="s">
        <v>51</v>
      </c>
      <c r="W463" s="11" cm="1">
        <f t="array" ref="W463">IF(H463="Request","No SLA for Request", IF(F463="Emergency",B463+(4/24), WORKDAY(B463, _xlfn.IFS(F463="High", 3, F463="Normal", 5, F463="Low", 10))))</f>
        <v>43564</v>
      </c>
      <c r="X463" t="str">
        <f t="shared" si="7"/>
        <v>Yes</v>
      </c>
    </row>
    <row r="464" spans="1:24" ht="12.75" x14ac:dyDescent="0.2">
      <c r="A464" s="3">
        <v>111145</v>
      </c>
      <c r="B464" s="8">
        <v>43542.549305555556</v>
      </c>
      <c r="C464" s="3" t="s">
        <v>518</v>
      </c>
      <c r="D464" s="3" t="s">
        <v>182</v>
      </c>
      <c r="E464" s="3" t="s">
        <v>183</v>
      </c>
      <c r="F464" s="3" t="s">
        <v>124</v>
      </c>
      <c r="G464" s="3" t="s">
        <v>29</v>
      </c>
      <c r="H464" s="3" t="s">
        <v>30</v>
      </c>
      <c r="I464" s="3" t="s">
        <v>31</v>
      </c>
      <c r="J464" s="3" t="s">
        <v>32</v>
      </c>
      <c r="K464" s="8">
        <v>43587.731249999997</v>
      </c>
      <c r="L464" s="8">
        <v>43543.049305555556</v>
      </c>
      <c r="M464" s="3">
        <v>0</v>
      </c>
      <c r="N464" s="3">
        <v>1</v>
      </c>
      <c r="O464" s="3" t="s">
        <v>33</v>
      </c>
      <c r="P464" s="10" t="s">
        <v>576</v>
      </c>
      <c r="Q464" s="3" t="s">
        <v>43</v>
      </c>
      <c r="R464" s="3">
        <v>26</v>
      </c>
      <c r="S464" s="3">
        <v>3</v>
      </c>
      <c r="T464" s="10" t="s">
        <v>576</v>
      </c>
      <c r="U464" s="10" t="s">
        <v>576</v>
      </c>
      <c r="V464" s="3" t="s">
        <v>48</v>
      </c>
      <c r="W464" s="11" cm="1">
        <f t="array" ref="W464">IF(H464="Request","No SLA for Request", IF(F464="Emergency",B464+(4/24), WORKDAY(B464, _xlfn.IFS(F464="High", 3, F464="Normal", 5, F464="Low", 10))))</f>
        <v>43549</v>
      </c>
      <c r="X464" t="str">
        <f t="shared" si="7"/>
        <v>Yes</v>
      </c>
    </row>
    <row r="465" spans="1:24" ht="12.75" x14ac:dyDescent="0.2">
      <c r="A465" s="3">
        <v>111186</v>
      </c>
      <c r="B465" s="8">
        <v>43580.675694444442</v>
      </c>
      <c r="C465" s="3" t="s">
        <v>519</v>
      </c>
      <c r="D465" s="3" t="s">
        <v>143</v>
      </c>
      <c r="E465" s="3" t="s">
        <v>144</v>
      </c>
      <c r="F465" s="3" t="s">
        <v>124</v>
      </c>
      <c r="G465" s="3" t="s">
        <v>577</v>
      </c>
      <c r="H465" s="3" t="s">
        <v>30</v>
      </c>
      <c r="I465" s="3" t="s">
        <v>68</v>
      </c>
      <c r="J465" s="3" t="s">
        <v>41</v>
      </c>
      <c r="K465" s="8">
        <v>43580.675694444442</v>
      </c>
      <c r="L465" s="8">
        <v>43581.175694444442</v>
      </c>
      <c r="M465" s="3">
        <v>1</v>
      </c>
      <c r="N465" s="3">
        <v>1</v>
      </c>
      <c r="O465" s="3" t="s">
        <v>116</v>
      </c>
      <c r="P465" s="10" t="s">
        <v>576</v>
      </c>
      <c r="Q465" s="3" t="s">
        <v>88</v>
      </c>
      <c r="R465" s="3">
        <v>5</v>
      </c>
      <c r="S465" s="3">
        <v>0</v>
      </c>
      <c r="T465" s="10" t="s">
        <v>576</v>
      </c>
      <c r="U465" s="10" t="s">
        <v>576</v>
      </c>
      <c r="V465" s="3" t="s">
        <v>37</v>
      </c>
      <c r="W465" s="11" cm="1">
        <f t="array" ref="W465">IF(H465="Request","No SLA for Request", IF(F465="Emergency",B465+(4/24), WORKDAY(B465, _xlfn.IFS(F465="High", 3, F465="Normal", 5, F465="Low", 10))))</f>
        <v>43587</v>
      </c>
      <c r="X465" t="str">
        <f t="shared" si="7"/>
        <v>No</v>
      </c>
    </row>
    <row r="466" spans="1:24" ht="12.75" x14ac:dyDescent="0.2">
      <c r="A466" s="3">
        <v>111170</v>
      </c>
      <c r="B466" s="8">
        <v>43560.636111111111</v>
      </c>
      <c r="C466" s="3" t="s">
        <v>520</v>
      </c>
      <c r="D466" s="3" t="s">
        <v>82</v>
      </c>
      <c r="E466" s="3" t="s">
        <v>83</v>
      </c>
      <c r="F466" s="3" t="s">
        <v>124</v>
      </c>
      <c r="G466" s="3" t="s">
        <v>29</v>
      </c>
      <c r="H466" s="3" t="s">
        <v>30</v>
      </c>
      <c r="I466" s="3" t="s">
        <v>31</v>
      </c>
      <c r="J466" s="3" t="s">
        <v>32</v>
      </c>
      <c r="K466" s="8">
        <v>43577.731944444444</v>
      </c>
      <c r="L466" s="8">
        <v>43561.136111111111</v>
      </c>
      <c r="M466" s="3">
        <v>0</v>
      </c>
      <c r="N466" s="3">
        <v>1</v>
      </c>
      <c r="O466" s="3" t="s">
        <v>33</v>
      </c>
      <c r="P466" s="10" t="s">
        <v>576</v>
      </c>
      <c r="Q466" s="3" t="s">
        <v>43</v>
      </c>
      <c r="R466" s="3">
        <v>12</v>
      </c>
      <c r="S466" s="3">
        <v>4</v>
      </c>
      <c r="T466" s="10" t="s">
        <v>576</v>
      </c>
      <c r="U466" s="10" t="s">
        <v>576</v>
      </c>
      <c r="V466" s="3" t="s">
        <v>51</v>
      </c>
      <c r="W466" s="11" cm="1">
        <f t="array" ref="W466">IF(H466="Request","No SLA for Request", IF(F466="Emergency",B466+(4/24), WORKDAY(B466, _xlfn.IFS(F466="High", 3, F466="Normal", 5, F466="Low", 10))))</f>
        <v>43567</v>
      </c>
      <c r="X466" t="str">
        <f t="shared" si="7"/>
        <v>Yes</v>
      </c>
    </row>
    <row r="467" spans="1:24" ht="12.75" x14ac:dyDescent="0.2">
      <c r="A467" s="3">
        <v>111169</v>
      </c>
      <c r="B467" s="8">
        <v>43559.681944444441</v>
      </c>
      <c r="C467" s="3" t="s">
        <v>521</v>
      </c>
      <c r="D467" s="3" t="s">
        <v>78</v>
      </c>
      <c r="E467" s="3" t="s">
        <v>79</v>
      </c>
      <c r="F467" s="3" t="s">
        <v>124</v>
      </c>
      <c r="G467" s="3" t="s">
        <v>29</v>
      </c>
      <c r="H467" s="3" t="s">
        <v>30</v>
      </c>
      <c r="I467" s="3" t="s">
        <v>31</v>
      </c>
      <c r="J467" s="3" t="s">
        <v>32</v>
      </c>
      <c r="K467" s="8">
        <v>43577.731944444444</v>
      </c>
      <c r="L467" s="8">
        <v>43560.181944444441</v>
      </c>
      <c r="M467" s="3">
        <v>0</v>
      </c>
      <c r="N467" s="3">
        <v>1</v>
      </c>
      <c r="O467" s="3" t="s">
        <v>33</v>
      </c>
      <c r="P467" s="10" t="s">
        <v>576</v>
      </c>
      <c r="Q467" s="3" t="s">
        <v>43</v>
      </c>
      <c r="R467" s="3">
        <v>14</v>
      </c>
      <c r="S467" s="3">
        <v>4</v>
      </c>
      <c r="T467" s="10" t="s">
        <v>576</v>
      </c>
      <c r="U467" s="10" t="s">
        <v>576</v>
      </c>
      <c r="V467" s="3" t="s">
        <v>37</v>
      </c>
      <c r="W467" s="11" cm="1">
        <f t="array" ref="W467">IF(H467="Request","No SLA for Request", IF(F467="Emergency",B467+(4/24), WORKDAY(B467, _xlfn.IFS(F467="High", 3, F467="Normal", 5, F467="Low", 10))))</f>
        <v>43566</v>
      </c>
      <c r="X467" t="str">
        <f t="shared" si="7"/>
        <v>Yes</v>
      </c>
    </row>
    <row r="468" spans="1:24" ht="12.75" x14ac:dyDescent="0.2">
      <c r="A468" s="3">
        <v>111163</v>
      </c>
      <c r="B468" s="8">
        <v>43556.560416666667</v>
      </c>
      <c r="C468" s="3" t="s">
        <v>522</v>
      </c>
      <c r="D468" s="3" t="s">
        <v>182</v>
      </c>
      <c r="E468" s="3" t="s">
        <v>183</v>
      </c>
      <c r="F468" s="3" t="s">
        <v>124</v>
      </c>
      <c r="G468" s="3" t="s">
        <v>29</v>
      </c>
      <c r="H468" s="3" t="s">
        <v>30</v>
      </c>
      <c r="I468" s="3" t="s">
        <v>31</v>
      </c>
      <c r="J468" s="3" t="s">
        <v>32</v>
      </c>
      <c r="K468" s="8">
        <v>43577.731944444444</v>
      </c>
      <c r="L468" s="8">
        <v>43557.060416666667</v>
      </c>
      <c r="M468" s="3">
        <v>0</v>
      </c>
      <c r="N468" s="3">
        <v>1</v>
      </c>
      <c r="O468" s="3" t="s">
        <v>33</v>
      </c>
      <c r="P468" s="10" t="s">
        <v>576</v>
      </c>
      <c r="Q468" s="3" t="s">
        <v>43</v>
      </c>
      <c r="R468" s="3">
        <v>16</v>
      </c>
      <c r="S468" s="3">
        <v>2</v>
      </c>
      <c r="T468" s="10" t="s">
        <v>576</v>
      </c>
      <c r="U468" s="10" t="s">
        <v>576</v>
      </c>
      <c r="V468" s="3" t="s">
        <v>37</v>
      </c>
      <c r="W468" s="11" cm="1">
        <f t="array" ref="W468">IF(H468="Request","No SLA for Request", IF(F468="Emergency",B468+(4/24), WORKDAY(B468, _xlfn.IFS(F468="High", 3, F468="Normal", 5, F468="Low", 10))))</f>
        <v>43563</v>
      </c>
      <c r="X468" t="str">
        <f t="shared" si="7"/>
        <v>Yes</v>
      </c>
    </row>
    <row r="469" spans="1:24" ht="12.75" x14ac:dyDescent="0.2">
      <c r="A469" s="3">
        <v>111160</v>
      </c>
      <c r="B469" s="8">
        <v>43552.651388888888</v>
      </c>
      <c r="C469" s="3" t="s">
        <v>523</v>
      </c>
      <c r="D469" s="3" t="s">
        <v>80</v>
      </c>
      <c r="E469" s="3" t="s">
        <v>81</v>
      </c>
      <c r="F469" s="3" t="s">
        <v>124</v>
      </c>
      <c r="G469" s="3" t="s">
        <v>29</v>
      </c>
      <c r="H469" s="3" t="s">
        <v>53</v>
      </c>
      <c r="I469" s="3" t="s">
        <v>31</v>
      </c>
      <c r="J469" s="3" t="s">
        <v>32</v>
      </c>
      <c r="K469" s="8">
        <v>43577.731944444444</v>
      </c>
      <c r="L469" s="8">
        <v>43553.151388888888</v>
      </c>
      <c r="M469" s="3">
        <v>0</v>
      </c>
      <c r="N469" s="3">
        <v>1</v>
      </c>
      <c r="O469" s="3" t="s">
        <v>33</v>
      </c>
      <c r="P469" s="10" t="s">
        <v>576</v>
      </c>
      <c r="Q469" s="3" t="s">
        <v>43</v>
      </c>
      <c r="R469" s="3">
        <v>10</v>
      </c>
      <c r="S469" s="3">
        <v>4</v>
      </c>
      <c r="T469" s="10" t="s">
        <v>576</v>
      </c>
      <c r="U469" s="10" t="s">
        <v>576</v>
      </c>
      <c r="V469" s="3" t="s">
        <v>48</v>
      </c>
      <c r="W469" s="11" t="str" cm="1">
        <f t="array" ref="W469">IF(H469="Request","No SLA for Request", IF(F469="Emergency",B469+(4/24), WORKDAY(B469, _xlfn.IFS(F469="High", 3, F469="Normal", 5, F469="Low", 10))))</f>
        <v>No SLA for Request</v>
      </c>
      <c r="X469" t="str">
        <f t="shared" si="7"/>
        <v>N/A</v>
      </c>
    </row>
    <row r="470" spans="1:24" ht="12.75" x14ac:dyDescent="0.2">
      <c r="A470" s="3">
        <v>111159</v>
      </c>
      <c r="B470" s="8">
        <v>43552.490277777775</v>
      </c>
      <c r="C470" s="3" t="s">
        <v>524</v>
      </c>
      <c r="D470" s="3" t="s">
        <v>73</v>
      </c>
      <c r="E470" s="3" t="s">
        <v>74</v>
      </c>
      <c r="F470" s="3" t="s">
        <v>124</v>
      </c>
      <c r="G470" s="3" t="s">
        <v>29</v>
      </c>
      <c r="H470" s="3" t="s">
        <v>30</v>
      </c>
      <c r="I470" s="3" t="s">
        <v>31</v>
      </c>
      <c r="J470" s="3" t="s">
        <v>32</v>
      </c>
      <c r="K470" s="8">
        <v>43571.746527777781</v>
      </c>
      <c r="L470" s="8">
        <v>43552.990277777775</v>
      </c>
      <c r="M470" s="3">
        <v>0</v>
      </c>
      <c r="N470" s="3">
        <v>1</v>
      </c>
      <c r="O470" s="3" t="s">
        <v>33</v>
      </c>
      <c r="P470" s="10" t="s">
        <v>576</v>
      </c>
      <c r="Q470" s="3" t="s">
        <v>34</v>
      </c>
      <c r="R470" s="3">
        <v>22</v>
      </c>
      <c r="S470" s="3">
        <v>8</v>
      </c>
      <c r="T470" s="10" t="s">
        <v>576</v>
      </c>
      <c r="U470" s="10" t="s">
        <v>576</v>
      </c>
      <c r="V470" s="3" t="s">
        <v>37</v>
      </c>
      <c r="W470" s="11" cm="1">
        <f t="array" ref="W470">IF(H470="Request","No SLA for Request", IF(F470="Emergency",B470+(4/24), WORKDAY(B470, _xlfn.IFS(F470="High", 3, F470="Normal", 5, F470="Low", 10))))</f>
        <v>43559</v>
      </c>
      <c r="X470" t="str">
        <f t="shared" si="7"/>
        <v>Yes</v>
      </c>
    </row>
    <row r="471" spans="1:24" ht="12.75" x14ac:dyDescent="0.2">
      <c r="A471" s="3">
        <v>111155</v>
      </c>
      <c r="B471" s="8">
        <v>43546.387499999997</v>
      </c>
      <c r="C471" s="3" t="s">
        <v>525</v>
      </c>
      <c r="D471" s="3" t="s">
        <v>82</v>
      </c>
      <c r="E471" s="3" t="s">
        <v>83</v>
      </c>
      <c r="F471" s="3" t="s">
        <v>124</v>
      </c>
      <c r="G471" s="3" t="s">
        <v>29</v>
      </c>
      <c r="H471" s="3" t="s">
        <v>30</v>
      </c>
      <c r="I471" s="3" t="s">
        <v>31</v>
      </c>
      <c r="J471" s="3" t="s">
        <v>32</v>
      </c>
      <c r="K471" s="8">
        <v>43570.775694444441</v>
      </c>
      <c r="L471" s="8">
        <v>43546.887499999997</v>
      </c>
      <c r="M471" s="3">
        <v>0</v>
      </c>
      <c r="N471" s="3">
        <v>1</v>
      </c>
      <c r="O471" s="3" t="s">
        <v>33</v>
      </c>
      <c r="P471" s="10" t="s">
        <v>576</v>
      </c>
      <c r="Q471" s="3" t="s">
        <v>43</v>
      </c>
      <c r="R471" s="3">
        <v>19</v>
      </c>
      <c r="S471" s="3">
        <v>3</v>
      </c>
      <c r="T471" s="10" t="s">
        <v>576</v>
      </c>
      <c r="U471" s="10" t="s">
        <v>576</v>
      </c>
      <c r="V471" s="3" t="s">
        <v>48</v>
      </c>
      <c r="W471" s="11" cm="1">
        <f t="array" ref="W471">IF(H471="Request","No SLA for Request", IF(F471="Emergency",B471+(4/24), WORKDAY(B471, _xlfn.IFS(F471="High", 3, F471="Normal", 5, F471="Low", 10))))</f>
        <v>43553</v>
      </c>
      <c r="X471" t="str">
        <f t="shared" si="7"/>
        <v>Yes</v>
      </c>
    </row>
    <row r="472" spans="1:24" ht="12.75" x14ac:dyDescent="0.2">
      <c r="A472" s="3">
        <v>111166</v>
      </c>
      <c r="B472" s="8">
        <v>43558.425000000003</v>
      </c>
      <c r="C472" s="3" t="s">
        <v>526</v>
      </c>
      <c r="D472" s="3" t="s">
        <v>82</v>
      </c>
      <c r="E472" s="3" t="s">
        <v>83</v>
      </c>
      <c r="F472" s="3" t="s">
        <v>124</v>
      </c>
      <c r="G472" s="3" t="s">
        <v>29</v>
      </c>
      <c r="H472" s="3" t="s">
        <v>30</v>
      </c>
      <c r="I472" s="3" t="s">
        <v>31</v>
      </c>
      <c r="J472" s="3" t="s">
        <v>32</v>
      </c>
      <c r="K472" s="8">
        <v>43565.775000000001</v>
      </c>
      <c r="L472" s="8">
        <v>43558.925000000003</v>
      </c>
      <c r="M472" s="3">
        <v>0</v>
      </c>
      <c r="N472" s="3">
        <v>1</v>
      </c>
      <c r="O472" s="3" t="s">
        <v>33</v>
      </c>
      <c r="P472" s="10" t="s">
        <v>576</v>
      </c>
      <c r="Q472" s="3" t="s">
        <v>43</v>
      </c>
      <c r="R472" s="3">
        <v>11</v>
      </c>
      <c r="S472" s="3">
        <v>5</v>
      </c>
      <c r="T472" s="10" t="s">
        <v>576</v>
      </c>
      <c r="U472" s="10" t="s">
        <v>576</v>
      </c>
      <c r="V472" s="3" t="s">
        <v>37</v>
      </c>
      <c r="W472" s="11" cm="1">
        <f t="array" ref="W472">IF(H472="Request","No SLA for Request", IF(F472="Emergency",B472+(4/24), WORKDAY(B472, _xlfn.IFS(F472="High", 3, F472="Normal", 5, F472="Low", 10))))</f>
        <v>43565</v>
      </c>
      <c r="X472" t="str">
        <f t="shared" si="7"/>
        <v>Yes</v>
      </c>
    </row>
    <row r="473" spans="1:24" ht="12.75" x14ac:dyDescent="0.2">
      <c r="A473" s="3">
        <v>111156</v>
      </c>
      <c r="B473" s="8">
        <v>43550.654166666667</v>
      </c>
      <c r="C473" s="3" t="s">
        <v>527</v>
      </c>
      <c r="D473" s="3" t="s">
        <v>49</v>
      </c>
      <c r="E473" s="3" t="s">
        <v>50</v>
      </c>
      <c r="F473" s="3" t="s">
        <v>124</v>
      </c>
      <c r="G473" s="3" t="s">
        <v>29</v>
      </c>
      <c r="H473" s="3" t="s">
        <v>30</v>
      </c>
      <c r="I473" s="3" t="s">
        <v>31</v>
      </c>
      <c r="J473" s="3" t="s">
        <v>32</v>
      </c>
      <c r="K473" s="8">
        <v>43565.75</v>
      </c>
      <c r="L473" s="8">
        <v>43551.154166666667</v>
      </c>
      <c r="M473" s="3">
        <v>0</v>
      </c>
      <c r="N473" s="3">
        <v>1</v>
      </c>
      <c r="O473" s="3" t="s">
        <v>33</v>
      </c>
      <c r="P473" s="10" t="s">
        <v>576</v>
      </c>
      <c r="Q473" s="3" t="s">
        <v>34</v>
      </c>
      <c r="R473" s="3">
        <v>26</v>
      </c>
      <c r="S473" s="3">
        <v>9</v>
      </c>
      <c r="T473" s="10" t="s">
        <v>576</v>
      </c>
      <c r="U473" s="10" t="s">
        <v>576</v>
      </c>
      <c r="V473" s="3" t="s">
        <v>48</v>
      </c>
      <c r="W473" s="11" cm="1">
        <f t="array" ref="W473">IF(H473="Request","No SLA for Request", IF(F473="Emergency",B473+(4/24), WORKDAY(B473, _xlfn.IFS(F473="High", 3, F473="Normal", 5, F473="Low", 10))))</f>
        <v>43557</v>
      </c>
      <c r="X473" t="str">
        <f t="shared" si="7"/>
        <v>Yes</v>
      </c>
    </row>
    <row r="474" spans="1:24" ht="12.75" x14ac:dyDescent="0.2">
      <c r="A474" s="3">
        <v>111104</v>
      </c>
      <c r="B474" s="8">
        <v>43497.017361111109</v>
      </c>
      <c r="C474" s="3" t="s">
        <v>528</v>
      </c>
      <c r="D474" s="3" t="s">
        <v>78</v>
      </c>
      <c r="E474" s="3" t="s">
        <v>79</v>
      </c>
      <c r="F474" s="3" t="s">
        <v>124</v>
      </c>
      <c r="G474" s="3" t="s">
        <v>29</v>
      </c>
      <c r="H474" s="3" t="s">
        <v>30</v>
      </c>
      <c r="I474" s="3" t="s">
        <v>61</v>
      </c>
      <c r="J474" s="3" t="s">
        <v>32</v>
      </c>
      <c r="K474" s="8">
        <v>43565.748611111114</v>
      </c>
      <c r="L474" s="8">
        <v>43497.517361111109</v>
      </c>
      <c r="M474" s="3">
        <v>0</v>
      </c>
      <c r="N474" s="3">
        <v>1</v>
      </c>
      <c r="O474" s="3" t="s">
        <v>33</v>
      </c>
      <c r="P474" s="10" t="s">
        <v>576</v>
      </c>
      <c r="Q474" s="3" t="s">
        <v>43</v>
      </c>
      <c r="R474" s="3">
        <v>6</v>
      </c>
      <c r="S474" s="3">
        <v>1</v>
      </c>
      <c r="T474" s="10" t="s">
        <v>576</v>
      </c>
      <c r="U474" s="10" t="s">
        <v>576</v>
      </c>
      <c r="V474" s="3" t="s">
        <v>37</v>
      </c>
      <c r="W474" s="11" cm="1">
        <f t="array" ref="W474">IF(H474="Request","No SLA for Request", IF(F474="Emergency",B474+(4/24), WORKDAY(B474, _xlfn.IFS(F474="High", 3, F474="Normal", 5, F474="Low", 10))))</f>
        <v>43504</v>
      </c>
      <c r="X474" t="str">
        <f t="shared" si="7"/>
        <v>Yes</v>
      </c>
    </row>
    <row r="475" spans="1:24" ht="12.75" x14ac:dyDescent="0.2">
      <c r="A475" s="3">
        <v>111130</v>
      </c>
      <c r="B475" s="8">
        <v>43514.445833333331</v>
      </c>
      <c r="C475" s="3" t="s">
        <v>529</v>
      </c>
      <c r="D475" s="3" t="s">
        <v>78</v>
      </c>
      <c r="E475" s="3" t="s">
        <v>79</v>
      </c>
      <c r="F475" s="3" t="s">
        <v>124</v>
      </c>
      <c r="G475" s="3" t="s">
        <v>29</v>
      </c>
      <c r="H475" s="3" t="s">
        <v>53</v>
      </c>
      <c r="I475" s="3" t="s">
        <v>31</v>
      </c>
      <c r="J475" s="3" t="s">
        <v>32</v>
      </c>
      <c r="K475" s="8">
        <v>43556.652777777781</v>
      </c>
      <c r="L475" s="8">
        <v>43514.945833333331</v>
      </c>
      <c r="M475" s="3">
        <v>0</v>
      </c>
      <c r="N475" s="3">
        <v>1</v>
      </c>
      <c r="O475" s="3" t="s">
        <v>58</v>
      </c>
      <c r="P475" s="10" t="s">
        <v>576</v>
      </c>
      <c r="Q475" s="3" t="s">
        <v>43</v>
      </c>
      <c r="R475" s="3">
        <v>12</v>
      </c>
      <c r="S475" s="3">
        <v>1</v>
      </c>
      <c r="T475" s="10" t="s">
        <v>576</v>
      </c>
      <c r="U475" s="10" t="s">
        <v>576</v>
      </c>
      <c r="V475" s="3" t="s">
        <v>37</v>
      </c>
      <c r="W475" s="11" t="str" cm="1">
        <f t="array" ref="W475">IF(H475="Request","No SLA for Request", IF(F475="Emergency",B475+(4/24), WORKDAY(B475, _xlfn.IFS(F475="High", 3, F475="Normal", 5, F475="Low", 10))))</f>
        <v>No SLA for Request</v>
      </c>
      <c r="X475" t="str">
        <f t="shared" si="7"/>
        <v>N/A</v>
      </c>
    </row>
    <row r="476" spans="1:24" ht="12.75" x14ac:dyDescent="0.2">
      <c r="A476" s="3">
        <v>111112</v>
      </c>
      <c r="B476" s="8">
        <v>43497.098611111112</v>
      </c>
      <c r="C476" s="3" t="s">
        <v>530</v>
      </c>
      <c r="D476" s="3" t="s">
        <v>117</v>
      </c>
      <c r="E476" s="3" t="s">
        <v>118</v>
      </c>
      <c r="F476" s="3" t="s">
        <v>124</v>
      </c>
      <c r="G476" s="3" t="s">
        <v>29</v>
      </c>
      <c r="H476" s="3" t="s">
        <v>30</v>
      </c>
      <c r="I476" s="3" t="s">
        <v>61</v>
      </c>
      <c r="J476" s="3" t="s">
        <v>32</v>
      </c>
      <c r="K476" s="8">
        <v>43556.647916666669</v>
      </c>
      <c r="L476" s="8">
        <v>43497.598611111112</v>
      </c>
      <c r="M476" s="3">
        <v>0</v>
      </c>
      <c r="N476" s="3">
        <v>1</v>
      </c>
      <c r="O476" s="3" t="s">
        <v>58</v>
      </c>
      <c r="P476" s="10" t="s">
        <v>576</v>
      </c>
      <c r="Q476" s="3" t="s">
        <v>43</v>
      </c>
      <c r="R476" s="3">
        <v>8</v>
      </c>
      <c r="S476" s="3">
        <v>2</v>
      </c>
      <c r="T476" s="10" t="s">
        <v>576</v>
      </c>
      <c r="U476" s="10" t="s">
        <v>576</v>
      </c>
      <c r="V476" s="3" t="s">
        <v>37</v>
      </c>
      <c r="W476" s="11" cm="1">
        <f t="array" ref="W476">IF(H476="Request","No SLA for Request", IF(F476="Emergency",B476+(4/24), WORKDAY(B476, _xlfn.IFS(F476="High", 3, F476="Normal", 5, F476="Low", 10))))</f>
        <v>43504</v>
      </c>
      <c r="X476" t="str">
        <f t="shared" si="7"/>
        <v>Yes</v>
      </c>
    </row>
    <row r="477" spans="1:24" ht="12.75" x14ac:dyDescent="0.2">
      <c r="A477" s="3">
        <v>111111</v>
      </c>
      <c r="B477" s="8">
        <v>43497.095833333333</v>
      </c>
      <c r="C477" s="3" t="s">
        <v>531</v>
      </c>
      <c r="D477" s="3" t="s">
        <v>73</v>
      </c>
      <c r="E477" s="3" t="s">
        <v>74</v>
      </c>
      <c r="F477" s="3" t="s">
        <v>124</v>
      </c>
      <c r="G477" s="3" t="s">
        <v>29</v>
      </c>
      <c r="H477" s="3" t="s">
        <v>53</v>
      </c>
      <c r="I477" s="3" t="s">
        <v>61</v>
      </c>
      <c r="J477" s="3" t="s">
        <v>32</v>
      </c>
      <c r="K477" s="8">
        <v>43556.647916666669</v>
      </c>
      <c r="L477" s="8">
        <v>43497.595833333333</v>
      </c>
      <c r="M477" s="3">
        <v>0</v>
      </c>
      <c r="N477" s="3">
        <v>1</v>
      </c>
      <c r="O477" s="3" t="s">
        <v>58</v>
      </c>
      <c r="P477" s="10" t="s">
        <v>576</v>
      </c>
      <c r="Q477" s="3" t="s">
        <v>34</v>
      </c>
      <c r="R477" s="3">
        <v>26</v>
      </c>
      <c r="S477" s="3">
        <v>7</v>
      </c>
      <c r="T477" s="10" t="s">
        <v>576</v>
      </c>
      <c r="U477" s="10" t="s">
        <v>576</v>
      </c>
      <c r="V477" s="3" t="s">
        <v>37</v>
      </c>
      <c r="W477" s="11" t="str" cm="1">
        <f t="array" ref="W477">IF(H477="Request","No SLA for Request", IF(F477="Emergency",B477+(4/24), WORKDAY(B477, _xlfn.IFS(F477="High", 3, F477="Normal", 5, F477="Low", 10))))</f>
        <v>No SLA for Request</v>
      </c>
      <c r="X477" t="str">
        <f t="shared" si="7"/>
        <v>N/A</v>
      </c>
    </row>
    <row r="478" spans="1:24" ht="12.75" x14ac:dyDescent="0.2">
      <c r="A478" s="3">
        <v>111110</v>
      </c>
      <c r="B478" s="8">
        <v>43497.090277777781</v>
      </c>
      <c r="C478" s="3" t="s">
        <v>532</v>
      </c>
      <c r="D478" s="3" t="s">
        <v>180</v>
      </c>
      <c r="E478" s="3" t="s">
        <v>648</v>
      </c>
      <c r="F478" s="3" t="s">
        <v>124</v>
      </c>
      <c r="G478" s="3" t="s">
        <v>29</v>
      </c>
      <c r="H478" s="3" t="s">
        <v>30</v>
      </c>
      <c r="I478" s="3" t="s">
        <v>61</v>
      </c>
      <c r="J478" s="3" t="s">
        <v>32</v>
      </c>
      <c r="K478" s="8">
        <v>43556.642361111109</v>
      </c>
      <c r="L478" s="8">
        <v>43497.590277777781</v>
      </c>
      <c r="M478" s="3">
        <v>0</v>
      </c>
      <c r="N478" s="3">
        <v>1</v>
      </c>
      <c r="O478" s="3" t="s">
        <v>58</v>
      </c>
      <c r="P478" s="10" t="s">
        <v>576</v>
      </c>
      <c r="Q478" s="3" t="s">
        <v>43</v>
      </c>
      <c r="R478" s="3">
        <v>7</v>
      </c>
      <c r="S478" s="3">
        <v>1</v>
      </c>
      <c r="T478" s="10" t="s">
        <v>576</v>
      </c>
      <c r="U478" s="10" t="s">
        <v>576</v>
      </c>
      <c r="V478" s="3" t="s">
        <v>37</v>
      </c>
      <c r="W478" s="11" cm="1">
        <f t="array" ref="W478">IF(H478="Request","No SLA for Request", IF(F478="Emergency",B478+(4/24), WORKDAY(B478, _xlfn.IFS(F478="High", 3, F478="Normal", 5, F478="Low", 10))))</f>
        <v>43504</v>
      </c>
      <c r="X478" t="str">
        <f t="shared" si="7"/>
        <v>Yes</v>
      </c>
    </row>
    <row r="479" spans="1:24" ht="12.75" x14ac:dyDescent="0.2">
      <c r="A479" s="3">
        <v>111109</v>
      </c>
      <c r="B479" s="8">
        <v>43497.085416666669</v>
      </c>
      <c r="C479" s="3" t="s">
        <v>184</v>
      </c>
      <c r="D479" s="3" t="s">
        <v>49</v>
      </c>
      <c r="E479" s="3" t="s">
        <v>50</v>
      </c>
      <c r="F479" s="3" t="s">
        <v>124</v>
      </c>
      <c r="G479" s="3" t="s">
        <v>29</v>
      </c>
      <c r="H479" s="3" t="s">
        <v>30</v>
      </c>
      <c r="I479" s="3" t="s">
        <v>61</v>
      </c>
      <c r="J479" s="3" t="s">
        <v>32</v>
      </c>
      <c r="K479" s="8">
        <v>43556.637499999997</v>
      </c>
      <c r="L479" s="8">
        <v>43497.585416666669</v>
      </c>
      <c r="M479" s="3">
        <v>0</v>
      </c>
      <c r="N479" s="3">
        <v>1</v>
      </c>
      <c r="O479" s="3" t="s">
        <v>58</v>
      </c>
      <c r="P479" s="10" t="s">
        <v>576</v>
      </c>
      <c r="Q479" s="3" t="s">
        <v>34</v>
      </c>
      <c r="R479" s="3">
        <v>9</v>
      </c>
      <c r="S479" s="3">
        <v>2</v>
      </c>
      <c r="T479" s="10" t="s">
        <v>576</v>
      </c>
      <c r="U479" s="10" t="s">
        <v>576</v>
      </c>
      <c r="V479" s="3" t="s">
        <v>37</v>
      </c>
      <c r="W479" s="11" cm="1">
        <f t="array" ref="W479">IF(H479="Request","No SLA for Request", IF(F479="Emergency",B479+(4/24), WORKDAY(B479, _xlfn.IFS(F479="High", 3, F479="Normal", 5, F479="Low", 10))))</f>
        <v>43504</v>
      </c>
      <c r="X479" t="str">
        <f t="shared" si="7"/>
        <v>Yes</v>
      </c>
    </row>
    <row r="480" spans="1:24" ht="12.75" x14ac:dyDescent="0.2">
      <c r="A480" s="3">
        <v>111107</v>
      </c>
      <c r="B480" s="8">
        <v>43497.04583333333</v>
      </c>
      <c r="C480" s="3" t="s">
        <v>185</v>
      </c>
      <c r="D480" s="3" t="s">
        <v>26</v>
      </c>
      <c r="E480" s="3" t="s">
        <v>27</v>
      </c>
      <c r="F480" s="3" t="s">
        <v>124</v>
      </c>
      <c r="G480" s="3" t="s">
        <v>29</v>
      </c>
      <c r="H480" s="3" t="s">
        <v>30</v>
      </c>
      <c r="I480" s="3" t="s">
        <v>61</v>
      </c>
      <c r="J480" s="3" t="s">
        <v>32</v>
      </c>
      <c r="K480" s="8">
        <v>43556.631944444445</v>
      </c>
      <c r="L480" s="12" t="s">
        <v>576</v>
      </c>
      <c r="M480" s="3">
        <v>0</v>
      </c>
      <c r="N480" s="3">
        <v>1</v>
      </c>
      <c r="O480" s="3" t="s">
        <v>58</v>
      </c>
      <c r="P480" s="10" t="s">
        <v>576</v>
      </c>
      <c r="Q480" s="3" t="s">
        <v>34</v>
      </c>
      <c r="R480" s="3">
        <v>13</v>
      </c>
      <c r="S480" s="3">
        <v>2</v>
      </c>
      <c r="T480" s="10" t="s">
        <v>576</v>
      </c>
      <c r="U480" s="10" t="s">
        <v>576</v>
      </c>
      <c r="V480" s="3" t="s">
        <v>37</v>
      </c>
      <c r="W480" s="11" cm="1">
        <f t="array" ref="W480">IF(H480="Request","No SLA for Request", IF(F480="Emergency",B480+(4/24), WORKDAY(B480, _xlfn.IFS(F480="High", 3, F480="Normal", 5, F480="Low", 10))))</f>
        <v>43504</v>
      </c>
      <c r="X480" t="str">
        <f t="shared" si="7"/>
        <v>Yes</v>
      </c>
    </row>
    <row r="481" spans="1:24" ht="12.75" x14ac:dyDescent="0.2">
      <c r="A481" s="3">
        <v>111100</v>
      </c>
      <c r="B481" s="8">
        <v>43496.969444444447</v>
      </c>
      <c r="C481" s="3" t="s">
        <v>533</v>
      </c>
      <c r="D481" s="3" t="s">
        <v>180</v>
      </c>
      <c r="E481" s="3" t="s">
        <v>648</v>
      </c>
      <c r="F481" s="3" t="s">
        <v>124</v>
      </c>
      <c r="G481" s="3" t="s">
        <v>29</v>
      </c>
      <c r="H481" s="3" t="s">
        <v>30</v>
      </c>
      <c r="I481" s="3" t="s">
        <v>61</v>
      </c>
      <c r="J481" s="3" t="s">
        <v>32</v>
      </c>
      <c r="K481" s="8">
        <v>43556.604166666664</v>
      </c>
      <c r="L481" s="8">
        <v>43497.469444444447</v>
      </c>
      <c r="M481" s="3">
        <v>0</v>
      </c>
      <c r="N481" s="3">
        <v>1</v>
      </c>
      <c r="O481" s="3" t="s">
        <v>58</v>
      </c>
      <c r="P481" s="10" t="s">
        <v>576</v>
      </c>
      <c r="Q481" s="3" t="s">
        <v>43</v>
      </c>
      <c r="R481" s="3">
        <v>8</v>
      </c>
      <c r="S481" s="3">
        <v>1</v>
      </c>
      <c r="T481" s="10" t="s">
        <v>576</v>
      </c>
      <c r="U481" s="10" t="s">
        <v>576</v>
      </c>
      <c r="V481" s="3" t="s">
        <v>37</v>
      </c>
      <c r="W481" s="11" cm="1">
        <f t="array" ref="W481">IF(H481="Request","No SLA for Request", IF(F481="Emergency",B481+(4/24), WORKDAY(B481, _xlfn.IFS(F481="High", 3, F481="Normal", 5, F481="Low", 10))))</f>
        <v>43503</v>
      </c>
      <c r="X481" t="str">
        <f t="shared" si="7"/>
        <v>Yes</v>
      </c>
    </row>
    <row r="482" spans="1:24" ht="12.75" x14ac:dyDescent="0.2">
      <c r="A482" s="3">
        <v>111141</v>
      </c>
      <c r="B482" s="8">
        <v>43529.553472222222</v>
      </c>
      <c r="C482" s="3" t="s">
        <v>534</v>
      </c>
      <c r="D482" s="3" t="s">
        <v>49</v>
      </c>
      <c r="E482" s="3" t="s">
        <v>50</v>
      </c>
      <c r="F482" s="3" t="s">
        <v>124</v>
      </c>
      <c r="G482" s="3" t="s">
        <v>29</v>
      </c>
      <c r="H482" s="3" t="s">
        <v>53</v>
      </c>
      <c r="I482" s="3" t="s">
        <v>31</v>
      </c>
      <c r="J482" s="3" t="s">
        <v>32</v>
      </c>
      <c r="K482" s="8">
        <v>43556.495138888888</v>
      </c>
      <c r="L482" s="8">
        <v>43530.053472222222</v>
      </c>
      <c r="M482" s="3">
        <v>0</v>
      </c>
      <c r="N482" s="3">
        <v>1</v>
      </c>
      <c r="O482" s="3" t="s">
        <v>33</v>
      </c>
      <c r="P482" s="10" t="s">
        <v>576</v>
      </c>
      <c r="Q482" s="3" t="s">
        <v>34</v>
      </c>
      <c r="R482" s="3">
        <v>18</v>
      </c>
      <c r="S482" s="3">
        <v>4</v>
      </c>
      <c r="T482" s="10" t="s">
        <v>576</v>
      </c>
      <c r="U482" s="10" t="s">
        <v>576</v>
      </c>
      <c r="V482" s="3" t="s">
        <v>48</v>
      </c>
      <c r="W482" s="11" t="str" cm="1">
        <f t="array" ref="W482">IF(H482="Request","No SLA for Request", IF(F482="Emergency",B482+(4/24), WORKDAY(B482, _xlfn.IFS(F482="High", 3, F482="Normal", 5, F482="Low", 10))))</f>
        <v>No SLA for Request</v>
      </c>
      <c r="X482" t="str">
        <f t="shared" si="7"/>
        <v>N/A</v>
      </c>
    </row>
    <row r="483" spans="1:24" ht="12.75" x14ac:dyDescent="0.2">
      <c r="A483" s="3">
        <v>111148</v>
      </c>
      <c r="B483" s="8">
        <v>43543.623611111114</v>
      </c>
      <c r="C483" s="3" t="s">
        <v>535</v>
      </c>
      <c r="D483" s="3" t="s">
        <v>49</v>
      </c>
      <c r="E483" s="3" t="s">
        <v>50</v>
      </c>
      <c r="F483" s="3" t="s">
        <v>124</v>
      </c>
      <c r="G483" s="3" t="s">
        <v>29</v>
      </c>
      <c r="H483" s="3" t="s">
        <v>53</v>
      </c>
      <c r="I483" s="3" t="s">
        <v>31</v>
      </c>
      <c r="J483" s="3" t="s">
        <v>32</v>
      </c>
      <c r="K483" s="8">
        <v>43551.719444444447</v>
      </c>
      <c r="L483" s="8">
        <v>43544.123611111114</v>
      </c>
      <c r="M483" s="3">
        <v>0</v>
      </c>
      <c r="N483" s="3">
        <v>1</v>
      </c>
      <c r="O483" s="3" t="s">
        <v>33</v>
      </c>
      <c r="P483" s="10" t="s">
        <v>576</v>
      </c>
      <c r="Q483" s="3" t="s">
        <v>34</v>
      </c>
      <c r="R483" s="3">
        <v>6</v>
      </c>
      <c r="S483" s="3">
        <v>0</v>
      </c>
      <c r="T483" s="10" t="s">
        <v>576</v>
      </c>
      <c r="U483" s="10" t="s">
        <v>576</v>
      </c>
      <c r="V483" s="3" t="s">
        <v>37</v>
      </c>
      <c r="W483" s="11" t="str" cm="1">
        <f t="array" ref="W483">IF(H483="Request","No SLA for Request", IF(F483="Emergency",B483+(4/24), WORKDAY(B483, _xlfn.IFS(F483="High", 3, F483="Normal", 5, F483="Low", 10))))</f>
        <v>No SLA for Request</v>
      </c>
      <c r="X483" t="str">
        <f t="shared" si="7"/>
        <v>N/A</v>
      </c>
    </row>
    <row r="484" spans="1:24" ht="12.75" x14ac:dyDescent="0.2">
      <c r="A484" s="3">
        <v>111127</v>
      </c>
      <c r="B484" s="8">
        <v>43509.665972222225</v>
      </c>
      <c r="C484" s="3" t="s">
        <v>536</v>
      </c>
      <c r="D484" s="3" t="s">
        <v>82</v>
      </c>
      <c r="E484" s="3" t="s">
        <v>83</v>
      </c>
      <c r="F484" s="3" t="s">
        <v>124</v>
      </c>
      <c r="G484" s="3" t="s">
        <v>29</v>
      </c>
      <c r="H484" s="3" t="s">
        <v>53</v>
      </c>
      <c r="I484" s="3" t="s">
        <v>129</v>
      </c>
      <c r="J484" s="3" t="s">
        <v>32</v>
      </c>
      <c r="K484" s="8">
        <v>43549.760416666664</v>
      </c>
      <c r="L484" s="8">
        <v>44422.165972222225</v>
      </c>
      <c r="M484" s="3">
        <v>0</v>
      </c>
      <c r="N484" s="3">
        <v>1</v>
      </c>
      <c r="O484" s="3" t="s">
        <v>33</v>
      </c>
      <c r="P484" s="10" t="s">
        <v>576</v>
      </c>
      <c r="Q484" s="3" t="s">
        <v>43</v>
      </c>
      <c r="R484" s="3">
        <v>15</v>
      </c>
      <c r="S484" s="3">
        <v>4</v>
      </c>
      <c r="T484" s="10" t="s">
        <v>576</v>
      </c>
      <c r="U484" s="10" t="s">
        <v>576</v>
      </c>
      <c r="V484" s="3" t="s">
        <v>37</v>
      </c>
      <c r="W484" s="11" t="str" cm="1">
        <f t="array" ref="W484">IF(H484="Request","No SLA for Request", IF(F484="Emergency",B484+(4/24), WORKDAY(B484, _xlfn.IFS(F484="High", 3, F484="Normal", 5, F484="Low", 10))))</f>
        <v>No SLA for Request</v>
      </c>
      <c r="X484" t="str">
        <f t="shared" si="7"/>
        <v>N/A</v>
      </c>
    </row>
    <row r="485" spans="1:24" ht="12.75" x14ac:dyDescent="0.2">
      <c r="A485" s="3">
        <v>111142</v>
      </c>
      <c r="B485" s="8">
        <v>43535.654166666667</v>
      </c>
      <c r="C485" s="3" t="s">
        <v>537</v>
      </c>
      <c r="D485" s="3" t="s">
        <v>73</v>
      </c>
      <c r="E485" s="3" t="s">
        <v>74</v>
      </c>
      <c r="F485" s="3" t="s">
        <v>124</v>
      </c>
      <c r="G485" s="3" t="s">
        <v>29</v>
      </c>
      <c r="H485" s="3" t="s">
        <v>30</v>
      </c>
      <c r="I485" s="3" t="s">
        <v>31</v>
      </c>
      <c r="J485" s="3" t="s">
        <v>32</v>
      </c>
      <c r="K485" s="8">
        <v>43546.77847222222</v>
      </c>
      <c r="L485" s="8">
        <v>43536.154166666667</v>
      </c>
      <c r="M485" s="3">
        <v>0</v>
      </c>
      <c r="N485" s="3">
        <v>1</v>
      </c>
      <c r="O485" s="3" t="s">
        <v>33</v>
      </c>
      <c r="P485" s="10" t="s">
        <v>576</v>
      </c>
      <c r="Q485" s="3" t="s">
        <v>34</v>
      </c>
      <c r="R485" s="3">
        <v>10</v>
      </c>
      <c r="S485" s="3">
        <v>2</v>
      </c>
      <c r="T485" s="10" t="s">
        <v>576</v>
      </c>
      <c r="U485" s="10" t="s">
        <v>576</v>
      </c>
      <c r="V485" s="3" t="s">
        <v>37</v>
      </c>
      <c r="W485" s="11" cm="1">
        <f t="array" ref="W485">IF(H485="Request","No SLA for Request", IF(F485="Emergency",B485+(4/24), WORKDAY(B485, _xlfn.IFS(F485="High", 3, F485="Normal", 5, F485="Low", 10))))</f>
        <v>43542</v>
      </c>
      <c r="X485" t="str">
        <f t="shared" si="7"/>
        <v>Yes</v>
      </c>
    </row>
    <row r="486" spans="1:24" ht="12.75" x14ac:dyDescent="0.2">
      <c r="A486" s="3">
        <v>111139</v>
      </c>
      <c r="B486" s="8">
        <v>43528.378472222219</v>
      </c>
      <c r="C486" s="3" t="s">
        <v>538</v>
      </c>
      <c r="D486" s="3" t="s">
        <v>78</v>
      </c>
      <c r="E486" s="3" t="s">
        <v>79</v>
      </c>
      <c r="F486" s="3" t="s">
        <v>124</v>
      </c>
      <c r="G486" s="3" t="s">
        <v>29</v>
      </c>
      <c r="H486" s="3" t="s">
        <v>30</v>
      </c>
      <c r="I486" s="3" t="s">
        <v>31</v>
      </c>
      <c r="J486" s="3" t="s">
        <v>32</v>
      </c>
      <c r="K486" s="8">
        <v>43544.719444444447</v>
      </c>
      <c r="L486" s="8">
        <v>43528.878472222219</v>
      </c>
      <c r="M486" s="3">
        <v>0</v>
      </c>
      <c r="N486" s="3">
        <v>1</v>
      </c>
      <c r="O486" s="3" t="s">
        <v>33</v>
      </c>
      <c r="P486" s="10" t="s">
        <v>576</v>
      </c>
      <c r="Q486" s="3" t="s">
        <v>43</v>
      </c>
      <c r="R486" s="3">
        <v>12</v>
      </c>
      <c r="S486" s="3">
        <v>1</v>
      </c>
      <c r="T486" s="10" t="s">
        <v>576</v>
      </c>
      <c r="U486" s="10" t="s">
        <v>576</v>
      </c>
      <c r="V486" s="3" t="s">
        <v>37</v>
      </c>
      <c r="W486" s="11" cm="1">
        <f t="array" ref="W486">IF(H486="Request","No SLA for Request", IF(F486="Emergency",B486+(4/24), WORKDAY(B486, _xlfn.IFS(F486="High", 3, F486="Normal", 5, F486="Low", 10))))</f>
        <v>43535</v>
      </c>
      <c r="X486" t="str">
        <f t="shared" si="7"/>
        <v>Yes</v>
      </c>
    </row>
    <row r="487" spans="1:24" ht="12.75" x14ac:dyDescent="0.2">
      <c r="A487" s="3">
        <v>111101</v>
      </c>
      <c r="B487" s="8">
        <v>43496.984722222223</v>
      </c>
      <c r="C487" s="3" t="s">
        <v>539</v>
      </c>
      <c r="D487" s="3" t="s">
        <v>117</v>
      </c>
      <c r="E487" s="3" t="s">
        <v>118</v>
      </c>
      <c r="F487" s="3" t="s">
        <v>124</v>
      </c>
      <c r="G487" s="3" t="s">
        <v>29</v>
      </c>
      <c r="H487" s="3" t="s">
        <v>30</v>
      </c>
      <c r="I487" s="3" t="s">
        <v>61</v>
      </c>
      <c r="J487" s="3" t="s">
        <v>32</v>
      </c>
      <c r="K487" s="8">
        <v>43544.717361111114</v>
      </c>
      <c r="L487" s="8">
        <v>43497.484722222223</v>
      </c>
      <c r="M487" s="3">
        <v>0</v>
      </c>
      <c r="N487" s="3">
        <v>1</v>
      </c>
      <c r="O487" s="3" t="s">
        <v>33</v>
      </c>
      <c r="P487" s="10" t="s">
        <v>576</v>
      </c>
      <c r="Q487" s="3" t="s">
        <v>43</v>
      </c>
      <c r="R487" s="3">
        <v>8</v>
      </c>
      <c r="S487" s="3">
        <v>1</v>
      </c>
      <c r="T487" s="10" t="s">
        <v>576</v>
      </c>
      <c r="U487" s="10" t="s">
        <v>576</v>
      </c>
      <c r="V487" s="3" t="s">
        <v>37</v>
      </c>
      <c r="W487" s="11" cm="1">
        <f t="array" ref="W487">IF(H487="Request","No SLA for Request", IF(F487="Emergency",B487+(4/24), WORKDAY(B487, _xlfn.IFS(F487="High", 3, F487="Normal", 5, F487="Low", 10))))</f>
        <v>43503</v>
      </c>
      <c r="X487" t="str">
        <f t="shared" si="7"/>
        <v>Yes</v>
      </c>
    </row>
    <row r="488" spans="1:24" ht="12.75" x14ac:dyDescent="0.2">
      <c r="A488" s="3">
        <v>111125</v>
      </c>
      <c r="B488" s="8">
        <v>43504.463888888888</v>
      </c>
      <c r="C488" s="3" t="s">
        <v>186</v>
      </c>
      <c r="D488" s="3" t="s">
        <v>49</v>
      </c>
      <c r="E488" s="3" t="s">
        <v>50</v>
      </c>
      <c r="F488" s="3" t="s">
        <v>124</v>
      </c>
      <c r="G488" s="3" t="s">
        <v>29</v>
      </c>
      <c r="H488" s="3" t="s">
        <v>53</v>
      </c>
      <c r="I488" s="3" t="s">
        <v>31</v>
      </c>
      <c r="J488" s="3" t="s">
        <v>32</v>
      </c>
      <c r="K488" s="8">
        <v>43543.722222222219</v>
      </c>
      <c r="L488" s="8">
        <v>43504.963888888888</v>
      </c>
      <c r="M488" s="3">
        <v>0</v>
      </c>
      <c r="N488" s="3">
        <v>1</v>
      </c>
      <c r="O488" s="3" t="s">
        <v>33</v>
      </c>
      <c r="P488" s="10" t="s">
        <v>576</v>
      </c>
      <c r="Q488" s="3" t="s">
        <v>34</v>
      </c>
      <c r="R488" s="3">
        <v>8</v>
      </c>
      <c r="S488" s="3">
        <v>0</v>
      </c>
      <c r="T488" s="10" t="s">
        <v>576</v>
      </c>
      <c r="U488" s="10" t="s">
        <v>576</v>
      </c>
      <c r="V488" s="3" t="s">
        <v>37</v>
      </c>
      <c r="W488" s="11" t="str" cm="1">
        <f t="array" ref="W488">IF(H488="Request","No SLA for Request", IF(F488="Emergency",B488+(4/24), WORKDAY(B488, _xlfn.IFS(F488="High", 3, F488="Normal", 5, F488="Low", 10))))</f>
        <v>No SLA for Request</v>
      </c>
      <c r="X488" t="str">
        <f t="shared" si="7"/>
        <v>N/A</v>
      </c>
    </row>
    <row r="489" spans="1:24" ht="12.75" x14ac:dyDescent="0.2">
      <c r="A489" s="3">
        <v>111144</v>
      </c>
      <c r="B489" s="8">
        <v>43538.654166666667</v>
      </c>
      <c r="C489" s="3" t="s">
        <v>540</v>
      </c>
      <c r="D489" s="3" t="s">
        <v>82</v>
      </c>
      <c r="E489" s="3" t="s">
        <v>83</v>
      </c>
      <c r="F489" s="3" t="s">
        <v>124</v>
      </c>
      <c r="G489" s="3" t="s">
        <v>29</v>
      </c>
      <c r="H489" s="3" t="s">
        <v>53</v>
      </c>
      <c r="I489" s="3" t="s">
        <v>31</v>
      </c>
      <c r="J489" s="3" t="s">
        <v>32</v>
      </c>
      <c r="K489" s="8">
        <v>43543.720833333333</v>
      </c>
      <c r="L489" s="8">
        <v>43539.154166666667</v>
      </c>
      <c r="M489" s="3">
        <v>0</v>
      </c>
      <c r="N489" s="3">
        <v>1</v>
      </c>
      <c r="O489" s="3" t="s">
        <v>33</v>
      </c>
      <c r="P489" s="10" t="s">
        <v>576</v>
      </c>
      <c r="Q489" s="3" t="s">
        <v>43</v>
      </c>
      <c r="R489" s="3">
        <v>7</v>
      </c>
      <c r="S489" s="3">
        <v>1</v>
      </c>
      <c r="T489" s="10" t="s">
        <v>576</v>
      </c>
      <c r="U489" s="10" t="s">
        <v>576</v>
      </c>
      <c r="V489" s="3" t="s">
        <v>37</v>
      </c>
      <c r="W489" s="11" t="str" cm="1">
        <f t="array" ref="W489">IF(H489="Request","No SLA for Request", IF(F489="Emergency",B489+(4/24), WORKDAY(B489, _xlfn.IFS(F489="High", 3, F489="Normal", 5, F489="Low", 10))))</f>
        <v>No SLA for Request</v>
      </c>
      <c r="X489" t="str">
        <f t="shared" si="7"/>
        <v>N/A</v>
      </c>
    </row>
    <row r="490" spans="1:24" ht="12.75" x14ac:dyDescent="0.2">
      <c r="A490" s="3">
        <v>111135</v>
      </c>
      <c r="B490" s="8">
        <v>43516.36041666667</v>
      </c>
      <c r="C490" s="3" t="s">
        <v>541</v>
      </c>
      <c r="D490" s="3" t="s">
        <v>82</v>
      </c>
      <c r="E490" s="3" t="s">
        <v>83</v>
      </c>
      <c r="F490" s="3" t="s">
        <v>124</v>
      </c>
      <c r="G490" s="3" t="s">
        <v>29</v>
      </c>
      <c r="H490" s="3" t="s">
        <v>30</v>
      </c>
      <c r="I490" s="3" t="s">
        <v>31</v>
      </c>
      <c r="J490" s="3" t="s">
        <v>32</v>
      </c>
      <c r="K490" s="8">
        <v>43542.759722222225</v>
      </c>
      <c r="L490" s="8">
        <v>43516.86041666667</v>
      </c>
      <c r="M490" s="3">
        <v>0</v>
      </c>
      <c r="N490" s="3">
        <v>1</v>
      </c>
      <c r="O490" s="3" t="s">
        <v>33</v>
      </c>
      <c r="P490" s="10" t="s">
        <v>576</v>
      </c>
      <c r="Q490" s="3" t="s">
        <v>43</v>
      </c>
      <c r="R490" s="3">
        <v>18</v>
      </c>
      <c r="S490" s="3">
        <v>4</v>
      </c>
      <c r="T490" s="10" t="s">
        <v>576</v>
      </c>
      <c r="U490" s="10" t="s">
        <v>576</v>
      </c>
      <c r="V490" s="3" t="s">
        <v>37</v>
      </c>
      <c r="W490" s="11" cm="1">
        <f t="array" ref="W490">IF(H490="Request","No SLA for Request", IF(F490="Emergency",B490+(4/24), WORKDAY(B490, _xlfn.IFS(F490="High", 3, F490="Normal", 5, F490="Low", 10))))</f>
        <v>43523</v>
      </c>
      <c r="X490" t="str">
        <f t="shared" si="7"/>
        <v>Yes</v>
      </c>
    </row>
    <row r="491" spans="1:24" ht="12.75" x14ac:dyDescent="0.2">
      <c r="A491" s="3">
        <v>111134</v>
      </c>
      <c r="B491" s="8">
        <v>43516.340277777781</v>
      </c>
      <c r="C491" s="3" t="s">
        <v>542</v>
      </c>
      <c r="D491" s="3" t="s">
        <v>80</v>
      </c>
      <c r="E491" s="3" t="s">
        <v>81</v>
      </c>
      <c r="F491" s="3" t="s">
        <v>124</v>
      </c>
      <c r="G491" s="3" t="s">
        <v>29</v>
      </c>
      <c r="H491" s="3" t="s">
        <v>30</v>
      </c>
      <c r="I491" s="3" t="s">
        <v>31</v>
      </c>
      <c r="J491" s="3" t="s">
        <v>32</v>
      </c>
      <c r="K491" s="8">
        <v>43537.665972222225</v>
      </c>
      <c r="L491" s="8">
        <v>43516.840277777781</v>
      </c>
      <c r="M491" s="3">
        <v>0</v>
      </c>
      <c r="N491" s="3">
        <v>1</v>
      </c>
      <c r="O491" s="3" t="s">
        <v>33</v>
      </c>
      <c r="P491" s="10" t="s">
        <v>576</v>
      </c>
      <c r="Q491" s="3" t="s">
        <v>43</v>
      </c>
      <c r="R491" s="3">
        <v>7</v>
      </c>
      <c r="S491" s="3">
        <v>1</v>
      </c>
      <c r="T491" s="10" t="s">
        <v>576</v>
      </c>
      <c r="U491" s="10" t="s">
        <v>576</v>
      </c>
      <c r="V491" s="3" t="s">
        <v>37</v>
      </c>
      <c r="W491" s="11" cm="1">
        <f t="array" ref="W491">IF(H491="Request","No SLA for Request", IF(F491="Emergency",B491+(4/24), WORKDAY(B491, _xlfn.IFS(F491="High", 3, F491="Normal", 5, F491="Low", 10))))</f>
        <v>43523</v>
      </c>
      <c r="X491" t="str">
        <f t="shared" si="7"/>
        <v>Yes</v>
      </c>
    </row>
    <row r="492" spans="1:24" ht="12.75" x14ac:dyDescent="0.2">
      <c r="A492" s="3">
        <v>111140</v>
      </c>
      <c r="B492" s="8">
        <v>43528.416666666664</v>
      </c>
      <c r="C492" s="3" t="s">
        <v>543</v>
      </c>
      <c r="D492" s="3" t="s">
        <v>49</v>
      </c>
      <c r="E492" s="3" t="s">
        <v>50</v>
      </c>
      <c r="F492" s="3" t="s">
        <v>124</v>
      </c>
      <c r="G492" s="3" t="s">
        <v>29</v>
      </c>
      <c r="H492" s="3" t="s">
        <v>53</v>
      </c>
      <c r="I492" s="3" t="s">
        <v>31</v>
      </c>
      <c r="J492" s="3" t="s">
        <v>32</v>
      </c>
      <c r="K492" s="8">
        <v>43532.738888888889</v>
      </c>
      <c r="L492" s="8">
        <v>43528.916666666664</v>
      </c>
      <c r="M492" s="3">
        <v>0</v>
      </c>
      <c r="N492" s="3">
        <v>1</v>
      </c>
      <c r="O492" s="3" t="s">
        <v>33</v>
      </c>
      <c r="P492" s="10" t="s">
        <v>576</v>
      </c>
      <c r="Q492" s="3" t="s">
        <v>34</v>
      </c>
      <c r="R492" s="3">
        <v>9</v>
      </c>
      <c r="S492" s="3">
        <v>0</v>
      </c>
      <c r="T492" s="10" t="s">
        <v>576</v>
      </c>
      <c r="U492" s="10" t="s">
        <v>576</v>
      </c>
      <c r="V492" s="3" t="s">
        <v>37</v>
      </c>
      <c r="W492" s="11" t="str" cm="1">
        <f t="array" ref="W492">IF(H492="Request","No SLA for Request", IF(F492="Emergency",B492+(4/24), WORKDAY(B492, _xlfn.IFS(F492="High", 3, F492="Normal", 5, F492="Low", 10))))</f>
        <v>No SLA for Request</v>
      </c>
      <c r="X492" t="str">
        <f t="shared" si="7"/>
        <v>N/A</v>
      </c>
    </row>
    <row r="493" spans="1:24" ht="12.75" x14ac:dyDescent="0.2">
      <c r="A493" s="3">
        <v>111132</v>
      </c>
      <c r="B493" s="8">
        <v>43515.472916666666</v>
      </c>
      <c r="C493" s="3" t="s">
        <v>544</v>
      </c>
      <c r="D493" s="3" t="s">
        <v>82</v>
      </c>
      <c r="E493" s="3" t="s">
        <v>83</v>
      </c>
      <c r="F493" s="3" t="s">
        <v>124</v>
      </c>
      <c r="G493" s="3" t="s">
        <v>29</v>
      </c>
      <c r="H493" s="3" t="s">
        <v>30</v>
      </c>
      <c r="I493" s="3" t="s">
        <v>31</v>
      </c>
      <c r="J493" s="3" t="s">
        <v>32</v>
      </c>
      <c r="K493" s="8">
        <v>43529.755555555559</v>
      </c>
      <c r="L493" s="8">
        <v>43515.972916666666</v>
      </c>
      <c r="M493" s="3">
        <v>0</v>
      </c>
      <c r="N493" s="3">
        <v>1</v>
      </c>
      <c r="O493" s="3" t="s">
        <v>33</v>
      </c>
      <c r="P493" s="10" t="s">
        <v>576</v>
      </c>
      <c r="Q493" s="3" t="s">
        <v>43</v>
      </c>
      <c r="R493" s="3">
        <v>24</v>
      </c>
      <c r="S493" s="3">
        <v>7</v>
      </c>
      <c r="T493" s="10" t="s">
        <v>576</v>
      </c>
      <c r="U493" s="10" t="s">
        <v>576</v>
      </c>
      <c r="V493" s="3" t="s">
        <v>37</v>
      </c>
      <c r="W493" s="11" cm="1">
        <f t="array" ref="W493">IF(H493="Request","No SLA for Request", IF(F493="Emergency",B493+(4/24), WORKDAY(B493, _xlfn.IFS(F493="High", 3, F493="Normal", 5, F493="Low", 10))))</f>
        <v>43522</v>
      </c>
      <c r="X493" t="str">
        <f t="shared" si="7"/>
        <v>Yes</v>
      </c>
    </row>
    <row r="494" spans="1:24" ht="12.75" x14ac:dyDescent="0.2">
      <c r="A494" s="3">
        <v>111102</v>
      </c>
      <c r="B494" s="8">
        <v>43496.993750000001</v>
      </c>
      <c r="C494" s="3" t="s">
        <v>649</v>
      </c>
      <c r="D494" s="3" t="s">
        <v>117</v>
      </c>
      <c r="E494" s="3" t="s">
        <v>118</v>
      </c>
      <c r="F494" s="3" t="s">
        <v>124</v>
      </c>
      <c r="G494" s="3" t="s">
        <v>29</v>
      </c>
      <c r="H494" s="3" t="s">
        <v>30</v>
      </c>
      <c r="I494" s="3" t="s">
        <v>61</v>
      </c>
      <c r="J494" s="3" t="s">
        <v>32</v>
      </c>
      <c r="K494" s="8">
        <v>43529.74722222222</v>
      </c>
      <c r="L494" s="8">
        <v>43497.493750000001</v>
      </c>
      <c r="M494" s="3">
        <v>0</v>
      </c>
      <c r="N494" s="3">
        <v>1</v>
      </c>
      <c r="O494" s="3" t="s">
        <v>33</v>
      </c>
      <c r="P494" s="10" t="s">
        <v>576</v>
      </c>
      <c r="Q494" s="3" t="s">
        <v>43</v>
      </c>
      <c r="R494" s="3">
        <v>6</v>
      </c>
      <c r="S494" s="3">
        <v>2</v>
      </c>
      <c r="T494" s="10" t="s">
        <v>576</v>
      </c>
      <c r="U494" s="10" t="s">
        <v>576</v>
      </c>
      <c r="V494" s="3" t="s">
        <v>37</v>
      </c>
      <c r="W494" s="11" cm="1">
        <f t="array" ref="W494">IF(H494="Request","No SLA for Request", IF(F494="Emergency",B494+(4/24), WORKDAY(B494, _xlfn.IFS(F494="High", 3, F494="Normal", 5, F494="Low", 10))))</f>
        <v>43503</v>
      </c>
      <c r="X494" t="str">
        <f t="shared" si="7"/>
        <v>Yes</v>
      </c>
    </row>
    <row r="495" spans="1:24" ht="12.75" x14ac:dyDescent="0.2">
      <c r="A495" s="3">
        <v>111137</v>
      </c>
      <c r="B495" s="8">
        <v>43522.484722222223</v>
      </c>
      <c r="C495" s="3" t="s">
        <v>545</v>
      </c>
      <c r="D495" s="3" t="s">
        <v>26</v>
      </c>
      <c r="E495" s="3" t="s">
        <v>27</v>
      </c>
      <c r="F495" s="3" t="s">
        <v>124</v>
      </c>
      <c r="G495" s="3" t="s">
        <v>29</v>
      </c>
      <c r="H495" s="3" t="s">
        <v>53</v>
      </c>
      <c r="I495" s="3" t="s">
        <v>31</v>
      </c>
      <c r="J495" s="3" t="s">
        <v>32</v>
      </c>
      <c r="K495" s="8">
        <v>43526.400000000001</v>
      </c>
      <c r="L495" s="8">
        <v>43522.984722222223</v>
      </c>
      <c r="M495" s="3">
        <v>0</v>
      </c>
      <c r="N495" s="3">
        <v>1</v>
      </c>
      <c r="O495" s="3" t="s">
        <v>33</v>
      </c>
      <c r="P495" s="10" t="s">
        <v>576</v>
      </c>
      <c r="Q495" s="3" t="s">
        <v>34</v>
      </c>
      <c r="R495" s="3">
        <v>11</v>
      </c>
      <c r="S495" s="3">
        <v>11</v>
      </c>
      <c r="T495" s="10" t="s">
        <v>576</v>
      </c>
      <c r="U495" s="10" t="s">
        <v>576</v>
      </c>
      <c r="V495" s="3" t="s">
        <v>37</v>
      </c>
      <c r="W495" s="11" t="str" cm="1">
        <f t="array" ref="W495">IF(H495="Request","No SLA for Request", IF(F495="Emergency",B495+(4/24), WORKDAY(B495, _xlfn.IFS(F495="High", 3, F495="Normal", 5, F495="Low", 10))))</f>
        <v>No SLA for Request</v>
      </c>
      <c r="X495" t="str">
        <f t="shared" si="7"/>
        <v>N/A</v>
      </c>
    </row>
    <row r="496" spans="1:24" ht="12.75" x14ac:dyDescent="0.2">
      <c r="A496" s="3">
        <v>111105</v>
      </c>
      <c r="B496" s="8">
        <v>43497.030555555553</v>
      </c>
      <c r="C496" s="3" t="s">
        <v>546</v>
      </c>
      <c r="D496" s="3" t="s">
        <v>26</v>
      </c>
      <c r="E496" s="3" t="s">
        <v>27</v>
      </c>
      <c r="F496" s="3" t="s">
        <v>124</v>
      </c>
      <c r="G496" s="3" t="s">
        <v>29</v>
      </c>
      <c r="H496" s="3" t="s">
        <v>30</v>
      </c>
      <c r="I496" s="3" t="s">
        <v>61</v>
      </c>
      <c r="J496" s="3" t="s">
        <v>32</v>
      </c>
      <c r="K496" s="8">
        <v>43516.634027777778</v>
      </c>
      <c r="L496" s="8">
        <v>43497.530555555553</v>
      </c>
      <c r="M496" s="3">
        <v>0</v>
      </c>
      <c r="N496" s="3">
        <v>1</v>
      </c>
      <c r="O496" s="3" t="s">
        <v>116</v>
      </c>
      <c r="P496" s="10" t="s">
        <v>576</v>
      </c>
      <c r="Q496" s="3" t="s">
        <v>34</v>
      </c>
      <c r="R496" s="3">
        <v>9</v>
      </c>
      <c r="S496" s="3">
        <v>1</v>
      </c>
      <c r="T496" s="10" t="s">
        <v>576</v>
      </c>
      <c r="U496" s="10" t="s">
        <v>576</v>
      </c>
      <c r="V496" s="3" t="s">
        <v>37</v>
      </c>
      <c r="W496" s="11" cm="1">
        <f t="array" ref="W496">IF(H496="Request","No SLA for Request", IF(F496="Emergency",B496+(4/24), WORKDAY(B496, _xlfn.IFS(F496="High", 3, F496="Normal", 5, F496="Low", 10))))</f>
        <v>43504</v>
      </c>
      <c r="X496" t="str">
        <f t="shared" si="7"/>
        <v>Yes</v>
      </c>
    </row>
    <row r="497" spans="1:24" ht="12.75" x14ac:dyDescent="0.2">
      <c r="A497" s="3">
        <v>111126</v>
      </c>
      <c r="B497" s="8">
        <v>43508.698611111111</v>
      </c>
      <c r="C497" s="3" t="s">
        <v>547</v>
      </c>
      <c r="D497" s="3" t="s">
        <v>49</v>
      </c>
      <c r="E497" s="3" t="s">
        <v>50</v>
      </c>
      <c r="F497" s="3" t="s">
        <v>124</v>
      </c>
      <c r="G497" s="3" t="s">
        <v>29</v>
      </c>
      <c r="H497" s="3" t="s">
        <v>30</v>
      </c>
      <c r="I497" s="3" t="s">
        <v>31</v>
      </c>
      <c r="J497" s="3" t="s">
        <v>32</v>
      </c>
      <c r="K497" s="8">
        <v>43516.605555555558</v>
      </c>
      <c r="L497" s="8">
        <v>43509.198611111111</v>
      </c>
      <c r="M497" s="3">
        <v>0</v>
      </c>
      <c r="N497" s="3">
        <v>1</v>
      </c>
      <c r="O497" s="3" t="s">
        <v>116</v>
      </c>
      <c r="P497" s="10" t="s">
        <v>576</v>
      </c>
      <c r="Q497" s="3" t="s">
        <v>34</v>
      </c>
      <c r="R497" s="3">
        <v>5</v>
      </c>
      <c r="S497" s="3">
        <v>1</v>
      </c>
      <c r="T497" s="10" t="s">
        <v>576</v>
      </c>
      <c r="U497" s="10" t="s">
        <v>576</v>
      </c>
      <c r="V497" s="3" t="s">
        <v>37</v>
      </c>
      <c r="W497" s="11" cm="1">
        <f t="array" ref="W497">IF(H497="Request","No SLA for Request", IF(F497="Emergency",B497+(4/24), WORKDAY(B497, _xlfn.IFS(F497="High", 3, F497="Normal", 5, F497="Low", 10))))</f>
        <v>43515</v>
      </c>
      <c r="X497" t="str">
        <f t="shared" si="7"/>
        <v>Yes</v>
      </c>
    </row>
    <row r="498" spans="1:24" ht="12.75" x14ac:dyDescent="0.2">
      <c r="A498" s="3">
        <v>111103</v>
      </c>
      <c r="B498" s="8">
        <v>43497</v>
      </c>
      <c r="C498" s="3" t="s">
        <v>548</v>
      </c>
      <c r="D498" s="3" t="s">
        <v>182</v>
      </c>
      <c r="E498" s="3" t="s">
        <v>183</v>
      </c>
      <c r="F498" s="3" t="s">
        <v>124</v>
      </c>
      <c r="G498" s="3" t="s">
        <v>29</v>
      </c>
      <c r="H498" s="3" t="s">
        <v>30</v>
      </c>
      <c r="I498" s="3" t="s">
        <v>61</v>
      </c>
      <c r="J498" s="3" t="s">
        <v>32</v>
      </c>
      <c r="K498" s="8">
        <v>43498.813888888886</v>
      </c>
      <c r="L498" s="8">
        <v>43497.5</v>
      </c>
      <c r="M498" s="3">
        <v>0</v>
      </c>
      <c r="N498" s="3">
        <v>1</v>
      </c>
      <c r="O498" s="3" t="s">
        <v>116</v>
      </c>
      <c r="P498" s="10" t="s">
        <v>576</v>
      </c>
      <c r="Q498" s="3" t="s">
        <v>43</v>
      </c>
      <c r="R498" s="3">
        <v>8</v>
      </c>
      <c r="S498" s="3">
        <v>1</v>
      </c>
      <c r="T498" s="10" t="s">
        <v>576</v>
      </c>
      <c r="U498" s="10" t="s">
        <v>576</v>
      </c>
      <c r="V498" s="3" t="s">
        <v>48</v>
      </c>
      <c r="W498" s="11" cm="1">
        <f t="array" ref="W498">IF(H498="Request","No SLA for Request", IF(F498="Emergency",B498+(4/24), WORKDAY(B498, _xlfn.IFS(F498="High", 3, F498="Normal", 5, F498="Low", 10))))</f>
        <v>43504</v>
      </c>
      <c r="X498" t="str">
        <f t="shared" si="7"/>
        <v>No</v>
      </c>
    </row>
    <row r="499" spans="1:24" ht="12.75" x14ac:dyDescent="0.2">
      <c r="A499" s="3">
        <v>111395</v>
      </c>
      <c r="B499" s="8">
        <v>43892.67083333333</v>
      </c>
      <c r="C499" s="3" t="s">
        <v>187</v>
      </c>
      <c r="D499" s="3" t="s">
        <v>39</v>
      </c>
      <c r="E499" s="3" t="s">
        <v>40</v>
      </c>
      <c r="F499" s="3" t="s">
        <v>188</v>
      </c>
      <c r="G499" s="3" t="s">
        <v>29</v>
      </c>
      <c r="H499" s="3" t="s">
        <v>53</v>
      </c>
      <c r="I499" s="3" t="s">
        <v>31</v>
      </c>
      <c r="J499" s="3" t="s">
        <v>51</v>
      </c>
      <c r="K499" s="8">
        <v>44286.47152777778</v>
      </c>
      <c r="L499" s="8">
        <v>44805.17083333333</v>
      </c>
      <c r="M499" s="3">
        <v>0</v>
      </c>
      <c r="N499" s="3">
        <v>0</v>
      </c>
      <c r="O499" s="3" t="s">
        <v>116</v>
      </c>
      <c r="P499" s="10" t="s">
        <v>576</v>
      </c>
      <c r="Q499" s="3" t="s">
        <v>43</v>
      </c>
      <c r="R499" s="3">
        <v>112</v>
      </c>
      <c r="S499" s="3">
        <v>21</v>
      </c>
      <c r="T499" s="3" t="s">
        <v>54</v>
      </c>
      <c r="U499" s="3" t="s">
        <v>55</v>
      </c>
      <c r="V499" s="3" t="s">
        <v>37</v>
      </c>
      <c r="W499" s="11" t="str" cm="1">
        <f t="array" ref="W499">IF(H499="Request","No SLA for Request", IF(F499="Emergency",B499+(4/24), WORKDAY(B499, _xlfn.IFS(F499="High", 3, F499="Normal", 5, F499="Low", 10))))</f>
        <v>No SLA for Request</v>
      </c>
      <c r="X499" t="str">
        <f t="shared" si="7"/>
        <v>N/A</v>
      </c>
    </row>
    <row r="500" spans="1:24" ht="12.75" x14ac:dyDescent="0.2">
      <c r="A500" s="3">
        <v>111119</v>
      </c>
      <c r="B500" s="8">
        <v>43500.455555555556</v>
      </c>
      <c r="C500" s="3" t="s">
        <v>549</v>
      </c>
      <c r="D500" s="3" t="s">
        <v>90</v>
      </c>
      <c r="E500" s="3" t="s">
        <v>91</v>
      </c>
      <c r="F500" s="3" t="s">
        <v>188</v>
      </c>
      <c r="G500" s="3" t="s">
        <v>29</v>
      </c>
      <c r="H500" s="3" t="s">
        <v>30</v>
      </c>
      <c r="I500" s="3" t="s">
        <v>31</v>
      </c>
      <c r="J500" s="3" t="s">
        <v>51</v>
      </c>
      <c r="K500" s="8">
        <v>44284.588888888888</v>
      </c>
      <c r="L500" s="8">
        <v>44412.955555555556</v>
      </c>
      <c r="M500" s="3">
        <v>0</v>
      </c>
      <c r="N500" s="3">
        <v>0</v>
      </c>
      <c r="O500" s="3" t="s">
        <v>116</v>
      </c>
      <c r="P500" s="10" t="s">
        <v>576</v>
      </c>
      <c r="Q500" s="3" t="s">
        <v>43</v>
      </c>
      <c r="R500" s="3">
        <v>76</v>
      </c>
      <c r="S500" s="3">
        <v>14</v>
      </c>
      <c r="T500" s="3" t="s">
        <v>54</v>
      </c>
      <c r="U500" s="3" t="s">
        <v>36</v>
      </c>
      <c r="V500" s="3" t="s">
        <v>37</v>
      </c>
      <c r="W500" s="11" cm="1">
        <f t="array" ref="W500">IF(H500="Request","No SLA for Request", IF(F500="Emergency",B500+(4/24), WORKDAY(B500, _xlfn.IFS(F500="High", 3, F500="Normal", 5, F500="Low", 10))))</f>
        <v>43514</v>
      </c>
      <c r="X500" t="str">
        <f t="shared" si="7"/>
        <v>Yes</v>
      </c>
    </row>
    <row r="501" spans="1:24" ht="12.75" x14ac:dyDescent="0.2">
      <c r="A501" s="3">
        <v>111543</v>
      </c>
      <c r="B501" s="8">
        <v>44131.349305555559</v>
      </c>
      <c r="C501" s="3" t="s">
        <v>550</v>
      </c>
      <c r="D501" s="3" t="s">
        <v>52</v>
      </c>
      <c r="E501" s="3" t="s">
        <v>580</v>
      </c>
      <c r="F501" s="3" t="s">
        <v>188</v>
      </c>
      <c r="G501" s="3" t="s">
        <v>29</v>
      </c>
      <c r="H501" s="3" t="s">
        <v>53</v>
      </c>
      <c r="I501" s="3" t="s">
        <v>31</v>
      </c>
      <c r="J501" s="3" t="s">
        <v>51</v>
      </c>
      <c r="K501" s="8">
        <v>44279.559027777781</v>
      </c>
      <c r="L501" s="8">
        <v>45043.849305555559</v>
      </c>
      <c r="M501" s="3">
        <v>0</v>
      </c>
      <c r="N501" s="3">
        <v>0</v>
      </c>
      <c r="O501" s="3" t="s">
        <v>116</v>
      </c>
      <c r="P501" s="10" t="s">
        <v>576</v>
      </c>
      <c r="Q501" s="3" t="s">
        <v>43</v>
      </c>
      <c r="R501" s="3">
        <v>16</v>
      </c>
      <c r="S501" s="3">
        <v>1</v>
      </c>
      <c r="T501" s="3" t="s">
        <v>54</v>
      </c>
      <c r="U501" s="3" t="s">
        <v>55</v>
      </c>
      <c r="V501" s="3" t="s">
        <v>51</v>
      </c>
      <c r="W501" s="11" t="str" cm="1">
        <f t="array" ref="W501">IF(H501="Request","No SLA for Request", IF(F501="Emergency",B501+(4/24), WORKDAY(B501, _xlfn.IFS(F501="High", 3, F501="Normal", 5, F501="Low", 10))))</f>
        <v>No SLA for Request</v>
      </c>
      <c r="X501" t="str">
        <f t="shared" si="7"/>
        <v>N/A</v>
      </c>
    </row>
    <row r="502" spans="1:24" ht="12.75" x14ac:dyDescent="0.2">
      <c r="A502" s="3">
        <v>111531</v>
      </c>
      <c r="B502" s="8">
        <v>44113.497916666667</v>
      </c>
      <c r="C502" s="3" t="s">
        <v>189</v>
      </c>
      <c r="D502" s="3" t="s">
        <v>52</v>
      </c>
      <c r="E502" s="3" t="s">
        <v>580</v>
      </c>
      <c r="F502" s="3" t="s">
        <v>188</v>
      </c>
      <c r="G502" s="3" t="s">
        <v>29</v>
      </c>
      <c r="H502" s="3" t="s">
        <v>53</v>
      </c>
      <c r="I502" s="3" t="s">
        <v>31</v>
      </c>
      <c r="J502" s="3" t="s">
        <v>51</v>
      </c>
      <c r="K502" s="8">
        <v>44273.586111111108</v>
      </c>
      <c r="L502" s="8">
        <v>45025.997916666667</v>
      </c>
      <c r="M502" s="3">
        <v>0</v>
      </c>
      <c r="N502" s="3">
        <v>0</v>
      </c>
      <c r="O502" s="3" t="s">
        <v>116</v>
      </c>
      <c r="P502" s="10" t="s">
        <v>576</v>
      </c>
      <c r="Q502" s="3" t="s">
        <v>43</v>
      </c>
      <c r="R502" s="3">
        <v>21</v>
      </c>
      <c r="S502" s="3">
        <v>2</v>
      </c>
      <c r="T502" s="3" t="s">
        <v>54</v>
      </c>
      <c r="U502" s="3" t="s">
        <v>55</v>
      </c>
      <c r="V502" s="3" t="s">
        <v>51</v>
      </c>
      <c r="W502" s="11" t="str" cm="1">
        <f t="array" ref="W502">IF(H502="Request","No SLA for Request", IF(F502="Emergency",B502+(4/24), WORKDAY(B502, _xlfn.IFS(F502="High", 3, F502="Normal", 5, F502="Low", 10))))</f>
        <v>No SLA for Request</v>
      </c>
      <c r="X502" t="str">
        <f t="shared" si="7"/>
        <v>N/A</v>
      </c>
    </row>
    <row r="503" spans="1:24" ht="12.75" x14ac:dyDescent="0.2">
      <c r="A503" s="3">
        <v>111481</v>
      </c>
      <c r="B503" s="8">
        <v>44054.411805555559</v>
      </c>
      <c r="C503" s="3" t="s">
        <v>551</v>
      </c>
      <c r="D503" s="3" t="s">
        <v>52</v>
      </c>
      <c r="E503" s="3" t="s">
        <v>580</v>
      </c>
      <c r="F503" s="3" t="s">
        <v>188</v>
      </c>
      <c r="G503" s="3" t="s">
        <v>29</v>
      </c>
      <c r="H503" s="3" t="s">
        <v>53</v>
      </c>
      <c r="I503" s="3" t="s">
        <v>31</v>
      </c>
      <c r="J503" s="3" t="s">
        <v>32</v>
      </c>
      <c r="K503" s="8">
        <v>44260.703472222223</v>
      </c>
      <c r="L503" s="8">
        <v>44055.411805555559</v>
      </c>
      <c r="M503" s="3">
        <v>0</v>
      </c>
      <c r="N503" s="3">
        <v>1</v>
      </c>
      <c r="O503" s="3" t="s">
        <v>33</v>
      </c>
      <c r="P503" s="10" t="s">
        <v>576</v>
      </c>
      <c r="Q503" s="3" t="s">
        <v>43</v>
      </c>
      <c r="R503" s="3">
        <v>22</v>
      </c>
      <c r="S503" s="3">
        <v>5</v>
      </c>
      <c r="T503" s="3" t="s">
        <v>54</v>
      </c>
      <c r="U503" s="3" t="s">
        <v>55</v>
      </c>
      <c r="V503" s="3" t="s">
        <v>48</v>
      </c>
      <c r="W503" s="11" t="str" cm="1">
        <f t="array" ref="W503">IF(H503="Request","No SLA for Request", IF(F503="Emergency",B503+(4/24), WORKDAY(B503, _xlfn.IFS(F503="High", 3, F503="Normal", 5, F503="Low", 10))))</f>
        <v>No SLA for Request</v>
      </c>
      <c r="X503" t="str">
        <f t="shared" si="7"/>
        <v>N/A</v>
      </c>
    </row>
    <row r="504" spans="1:24" ht="12.75" x14ac:dyDescent="0.2">
      <c r="A504" s="3">
        <v>111515</v>
      </c>
      <c r="B504" s="8">
        <v>44104.947222222225</v>
      </c>
      <c r="C504" s="3" t="s">
        <v>552</v>
      </c>
      <c r="D504" s="3" t="s">
        <v>52</v>
      </c>
      <c r="E504" s="3" t="s">
        <v>580</v>
      </c>
      <c r="F504" s="3" t="s">
        <v>188</v>
      </c>
      <c r="G504" s="3" t="s">
        <v>29</v>
      </c>
      <c r="H504" s="3" t="s">
        <v>53</v>
      </c>
      <c r="I504" s="3" t="s">
        <v>31</v>
      </c>
      <c r="J504" s="3" t="s">
        <v>32</v>
      </c>
      <c r="K504" s="8">
        <v>44246.701388888891</v>
      </c>
      <c r="L504" s="8">
        <v>44105.947222222225</v>
      </c>
      <c r="M504" s="3">
        <v>0</v>
      </c>
      <c r="N504" s="3">
        <v>1</v>
      </c>
      <c r="O504" s="3" t="s">
        <v>33</v>
      </c>
      <c r="P504" s="10" t="s">
        <v>576</v>
      </c>
      <c r="Q504" s="3" t="s">
        <v>43</v>
      </c>
      <c r="R504" s="3">
        <v>23</v>
      </c>
      <c r="S504" s="3">
        <v>2</v>
      </c>
      <c r="T504" s="3" t="s">
        <v>54</v>
      </c>
      <c r="U504" s="3" t="s">
        <v>55</v>
      </c>
      <c r="V504" s="3" t="s">
        <v>48</v>
      </c>
      <c r="W504" s="11" t="str" cm="1">
        <f t="array" ref="W504">IF(H504="Request","No SLA for Request", IF(F504="Emergency",B504+(4/24), WORKDAY(B504, _xlfn.IFS(F504="High", 3, F504="Normal", 5, F504="Low", 10))))</f>
        <v>No SLA for Request</v>
      </c>
      <c r="X504" t="str">
        <f t="shared" si="7"/>
        <v>N/A</v>
      </c>
    </row>
    <row r="505" spans="1:24" ht="12.75" x14ac:dyDescent="0.2">
      <c r="A505" s="3">
        <v>111400</v>
      </c>
      <c r="B505" s="8">
        <v>43901.761805555558</v>
      </c>
      <c r="C505" s="3" t="s">
        <v>650</v>
      </c>
      <c r="D505" s="3" t="s">
        <v>47</v>
      </c>
      <c r="E505" s="3" t="s">
        <v>578</v>
      </c>
      <c r="F505" s="3" t="s">
        <v>188</v>
      </c>
      <c r="G505" s="3" t="s">
        <v>29</v>
      </c>
      <c r="H505" s="3" t="s">
        <v>53</v>
      </c>
      <c r="I505" s="3" t="s">
        <v>31</v>
      </c>
      <c r="J505" s="3" t="s">
        <v>32</v>
      </c>
      <c r="K505" s="8">
        <v>44243.595833333333</v>
      </c>
      <c r="L505" s="8">
        <v>43902.761805555558</v>
      </c>
      <c r="M505" s="3">
        <v>0</v>
      </c>
      <c r="N505" s="3">
        <v>1</v>
      </c>
      <c r="O505" s="3" t="s">
        <v>33</v>
      </c>
      <c r="P505" s="10" t="s">
        <v>576</v>
      </c>
      <c r="Q505" s="3" t="s">
        <v>43</v>
      </c>
      <c r="R505" s="3">
        <v>57</v>
      </c>
      <c r="S505" s="3">
        <v>8</v>
      </c>
      <c r="T505" s="3" t="s">
        <v>54</v>
      </c>
      <c r="U505" s="3" t="s">
        <v>36</v>
      </c>
      <c r="V505" s="3" t="s">
        <v>48</v>
      </c>
      <c r="W505" s="11" t="str" cm="1">
        <f t="array" ref="W505">IF(H505="Request","No SLA for Request", IF(F505="Emergency",B505+(4/24), WORKDAY(B505, _xlfn.IFS(F505="High", 3, F505="Normal", 5, F505="Low", 10))))</f>
        <v>No SLA for Request</v>
      </c>
      <c r="X505" t="str">
        <f t="shared" si="7"/>
        <v>N/A</v>
      </c>
    </row>
    <row r="506" spans="1:24" ht="12.75" x14ac:dyDescent="0.2">
      <c r="A506" s="3">
        <v>111578</v>
      </c>
      <c r="B506" s="8">
        <v>44175.445833333331</v>
      </c>
      <c r="C506" s="3" t="s">
        <v>190</v>
      </c>
      <c r="D506" s="3" t="s">
        <v>49</v>
      </c>
      <c r="E506" s="3" t="s">
        <v>50</v>
      </c>
      <c r="F506" s="3" t="s">
        <v>188</v>
      </c>
      <c r="G506" s="3" t="s">
        <v>29</v>
      </c>
      <c r="H506" s="3" t="s">
        <v>53</v>
      </c>
      <c r="I506" s="3" t="s">
        <v>31</v>
      </c>
      <c r="J506" s="3" t="s">
        <v>32</v>
      </c>
      <c r="K506" s="8">
        <v>44237.727777777778</v>
      </c>
      <c r="L506" s="8">
        <v>44176.445833333331</v>
      </c>
      <c r="M506" s="3">
        <v>0</v>
      </c>
      <c r="N506" s="3">
        <v>1</v>
      </c>
      <c r="O506" s="3" t="s">
        <v>33</v>
      </c>
      <c r="P506" s="10" t="s">
        <v>576</v>
      </c>
      <c r="Q506" s="3" t="s">
        <v>34</v>
      </c>
      <c r="R506" s="3">
        <v>12</v>
      </c>
      <c r="S506" s="3">
        <v>1</v>
      </c>
      <c r="T506" s="3" t="s">
        <v>35</v>
      </c>
      <c r="U506" s="3" t="s">
        <v>36</v>
      </c>
      <c r="V506" s="3" t="s">
        <v>48</v>
      </c>
      <c r="W506" s="11" t="str" cm="1">
        <f t="array" ref="W506">IF(H506="Request","No SLA for Request", IF(F506="Emergency",B506+(4/24), WORKDAY(B506, _xlfn.IFS(F506="High", 3, F506="Normal", 5, F506="Low", 10))))</f>
        <v>No SLA for Request</v>
      </c>
      <c r="X506" t="str">
        <f t="shared" si="7"/>
        <v>N/A</v>
      </c>
    </row>
    <row r="507" spans="1:24" ht="12.75" x14ac:dyDescent="0.2">
      <c r="A507" s="3">
        <v>111591</v>
      </c>
      <c r="B507" s="8">
        <v>44208.68472222222</v>
      </c>
      <c r="C507" s="3" t="s">
        <v>191</v>
      </c>
      <c r="D507" s="3" t="s">
        <v>96</v>
      </c>
      <c r="E507" s="3" t="s">
        <v>97</v>
      </c>
      <c r="F507" s="3" t="s">
        <v>188</v>
      </c>
      <c r="G507" s="3" t="s">
        <v>29</v>
      </c>
      <c r="H507" s="3" t="s">
        <v>53</v>
      </c>
      <c r="I507" s="3" t="s">
        <v>31</v>
      </c>
      <c r="J507" s="3" t="s">
        <v>32</v>
      </c>
      <c r="K507" s="8">
        <v>44225.722916666666</v>
      </c>
      <c r="L507" s="8">
        <v>44209.68472222222</v>
      </c>
      <c r="M507" s="3">
        <v>0</v>
      </c>
      <c r="N507" s="3">
        <v>1</v>
      </c>
      <c r="O507" s="3" t="s">
        <v>33</v>
      </c>
      <c r="P507" s="10" t="s">
        <v>576</v>
      </c>
      <c r="Q507" s="3" t="s">
        <v>43</v>
      </c>
      <c r="R507" s="3">
        <v>11</v>
      </c>
      <c r="S507" s="3">
        <v>2</v>
      </c>
      <c r="T507" s="3" t="s">
        <v>54</v>
      </c>
      <c r="U507" s="3" t="s">
        <v>55</v>
      </c>
      <c r="V507" s="3" t="s">
        <v>48</v>
      </c>
      <c r="W507" s="11" t="str" cm="1">
        <f t="array" ref="W507">IF(H507="Request","No SLA for Request", IF(F507="Emergency",B507+(4/24), WORKDAY(B507, _xlfn.IFS(F507="High", 3, F507="Normal", 5, F507="Low", 10))))</f>
        <v>No SLA for Request</v>
      </c>
      <c r="X507" t="str">
        <f t="shared" si="7"/>
        <v>N/A</v>
      </c>
    </row>
    <row r="508" spans="1:24" ht="12.75" x14ac:dyDescent="0.2">
      <c r="A508" s="3">
        <v>111508</v>
      </c>
      <c r="B508" s="8">
        <v>44102.446527777778</v>
      </c>
      <c r="C508" s="3" t="s">
        <v>192</v>
      </c>
      <c r="D508" s="3" t="s">
        <v>52</v>
      </c>
      <c r="E508" s="3" t="s">
        <v>580</v>
      </c>
      <c r="F508" s="3" t="s">
        <v>188</v>
      </c>
      <c r="G508" s="3" t="s">
        <v>29</v>
      </c>
      <c r="H508" s="3" t="s">
        <v>53</v>
      </c>
      <c r="I508" s="3" t="s">
        <v>31</v>
      </c>
      <c r="J508" s="3" t="s">
        <v>51</v>
      </c>
      <c r="K508" s="8">
        <v>44221.504166666666</v>
      </c>
      <c r="L508" s="8">
        <v>45014.946527777778</v>
      </c>
      <c r="M508" s="3">
        <v>0</v>
      </c>
      <c r="N508" s="3">
        <v>0</v>
      </c>
      <c r="O508" s="3" t="s">
        <v>116</v>
      </c>
      <c r="P508" s="10" t="s">
        <v>576</v>
      </c>
      <c r="Q508" s="3" t="s">
        <v>43</v>
      </c>
      <c r="R508" s="3">
        <v>15</v>
      </c>
      <c r="S508" s="3">
        <v>2</v>
      </c>
      <c r="T508" s="3" t="s">
        <v>54</v>
      </c>
      <c r="U508" s="3" t="s">
        <v>55</v>
      </c>
      <c r="V508" s="3" t="s">
        <v>51</v>
      </c>
      <c r="W508" s="11" t="str" cm="1">
        <f t="array" ref="W508">IF(H508="Request","No SLA for Request", IF(F508="Emergency",B508+(4/24), WORKDAY(B508, _xlfn.IFS(F508="High", 3, F508="Normal", 5, F508="Low", 10))))</f>
        <v>No SLA for Request</v>
      </c>
      <c r="X508" t="str">
        <f t="shared" si="7"/>
        <v>N/A</v>
      </c>
    </row>
    <row r="509" spans="1:24" ht="12.75" x14ac:dyDescent="0.2">
      <c r="A509" s="3">
        <v>111589</v>
      </c>
      <c r="B509" s="8">
        <v>44202.643055555556</v>
      </c>
      <c r="C509" s="3" t="s">
        <v>193</v>
      </c>
      <c r="D509" s="3" t="s">
        <v>52</v>
      </c>
      <c r="E509" s="3" t="s">
        <v>580</v>
      </c>
      <c r="F509" s="3" t="s">
        <v>188</v>
      </c>
      <c r="G509" s="3" t="s">
        <v>29</v>
      </c>
      <c r="H509" s="3" t="s">
        <v>30</v>
      </c>
      <c r="I509" s="3" t="s">
        <v>31</v>
      </c>
      <c r="J509" s="3" t="s">
        <v>32</v>
      </c>
      <c r="K509" s="8">
        <v>44214.753472222219</v>
      </c>
      <c r="L509" s="8">
        <v>44203.143055555556</v>
      </c>
      <c r="M509" s="3">
        <v>0</v>
      </c>
      <c r="N509" s="3">
        <v>1</v>
      </c>
      <c r="O509" s="3" t="s">
        <v>33</v>
      </c>
      <c r="P509" s="10" t="s">
        <v>576</v>
      </c>
      <c r="Q509" s="3" t="s">
        <v>43</v>
      </c>
      <c r="R509" s="3">
        <v>6</v>
      </c>
      <c r="S509" s="3">
        <v>2</v>
      </c>
      <c r="T509" s="3" t="s">
        <v>54</v>
      </c>
      <c r="U509" s="3" t="s">
        <v>55</v>
      </c>
      <c r="V509" s="3" t="s">
        <v>48</v>
      </c>
      <c r="W509" s="11" cm="1">
        <f t="array" ref="W509">IF(H509="Request","No SLA for Request", IF(F509="Emergency",B509+(4/24), WORKDAY(B509, _xlfn.IFS(F509="High", 3, F509="Normal", 5, F509="Low", 10))))</f>
        <v>44216</v>
      </c>
      <c r="X509" t="str">
        <f t="shared" si="7"/>
        <v>No</v>
      </c>
    </row>
    <row r="510" spans="1:24" ht="12.75" x14ac:dyDescent="0.2">
      <c r="A510" s="3">
        <v>111445</v>
      </c>
      <c r="B510" s="8">
        <v>43998.393750000003</v>
      </c>
      <c r="C510" s="3" t="s">
        <v>553</v>
      </c>
      <c r="D510" s="3" t="s">
        <v>49</v>
      </c>
      <c r="E510" s="3" t="s">
        <v>50</v>
      </c>
      <c r="F510" s="3" t="s">
        <v>188</v>
      </c>
      <c r="G510" s="3" t="s">
        <v>29</v>
      </c>
      <c r="H510" s="3" t="s">
        <v>53</v>
      </c>
      <c r="I510" s="3" t="s">
        <v>31</v>
      </c>
      <c r="J510" s="3" t="s">
        <v>51</v>
      </c>
      <c r="K510" s="8">
        <v>44176.842361111114</v>
      </c>
      <c r="L510" s="8">
        <v>44910.893750000003</v>
      </c>
      <c r="M510" s="3">
        <v>0</v>
      </c>
      <c r="N510" s="3">
        <v>0</v>
      </c>
      <c r="O510" s="3" t="s">
        <v>116</v>
      </c>
      <c r="P510" s="10" t="s">
        <v>576</v>
      </c>
      <c r="Q510" s="3" t="s">
        <v>34</v>
      </c>
      <c r="R510" s="3">
        <v>4</v>
      </c>
      <c r="S510" s="3">
        <v>0</v>
      </c>
      <c r="T510" s="3" t="s">
        <v>54</v>
      </c>
      <c r="U510" s="3" t="s">
        <v>62</v>
      </c>
      <c r="V510" s="3" t="s">
        <v>37</v>
      </c>
      <c r="W510" s="11" t="str" cm="1">
        <f t="array" ref="W510">IF(H510="Request","No SLA for Request", IF(F510="Emergency",B510+(4/24), WORKDAY(B510, _xlfn.IFS(F510="High", 3, F510="Normal", 5, F510="Low", 10))))</f>
        <v>No SLA for Request</v>
      </c>
      <c r="X510" t="str">
        <f t="shared" si="7"/>
        <v>N/A</v>
      </c>
    </row>
    <row r="511" spans="1:24" ht="12.75" x14ac:dyDescent="0.2">
      <c r="A511" s="3">
        <v>111579</v>
      </c>
      <c r="B511" s="8">
        <v>44176.656944444447</v>
      </c>
      <c r="C511" s="3" t="s">
        <v>554</v>
      </c>
      <c r="D511" s="3" t="s">
        <v>60</v>
      </c>
      <c r="E511" s="3" t="s">
        <v>581</v>
      </c>
      <c r="F511" s="3" t="s">
        <v>188</v>
      </c>
      <c r="G511" s="3" t="s">
        <v>29</v>
      </c>
      <c r="H511" s="3" t="s">
        <v>53</v>
      </c>
      <c r="I511" s="3" t="s">
        <v>31</v>
      </c>
      <c r="J511" s="3" t="s">
        <v>51</v>
      </c>
      <c r="K511" s="8">
        <v>44176.656944444447</v>
      </c>
      <c r="L511" s="8">
        <v>45089.156944444447</v>
      </c>
      <c r="M511" s="3">
        <v>0</v>
      </c>
      <c r="N511" s="3">
        <v>1</v>
      </c>
      <c r="O511" s="3" t="s">
        <v>116</v>
      </c>
      <c r="P511" s="10" t="s">
        <v>576</v>
      </c>
      <c r="Q511" s="3" t="s">
        <v>43</v>
      </c>
      <c r="R511" s="3">
        <v>4</v>
      </c>
      <c r="S511" s="3">
        <v>0</v>
      </c>
      <c r="T511" s="3" t="s">
        <v>54</v>
      </c>
      <c r="U511" s="3" t="s">
        <v>55</v>
      </c>
      <c r="V511" s="3" t="s">
        <v>37</v>
      </c>
      <c r="W511" s="11" t="str" cm="1">
        <f t="array" ref="W511">IF(H511="Request","No SLA for Request", IF(F511="Emergency",B511+(4/24), WORKDAY(B511, _xlfn.IFS(F511="High", 3, F511="Normal", 5, F511="Low", 10))))</f>
        <v>No SLA for Request</v>
      </c>
      <c r="X511" t="str">
        <f t="shared" si="7"/>
        <v>N/A</v>
      </c>
    </row>
    <row r="512" spans="1:24" ht="12.75" x14ac:dyDescent="0.2">
      <c r="A512" s="3">
        <v>111540</v>
      </c>
      <c r="B512" s="8">
        <v>44126.663194444445</v>
      </c>
      <c r="C512" s="3" t="s">
        <v>651</v>
      </c>
      <c r="D512" s="3" t="s">
        <v>96</v>
      </c>
      <c r="E512" s="3" t="s">
        <v>97</v>
      </c>
      <c r="F512" s="3" t="s">
        <v>188</v>
      </c>
      <c r="G512" s="3" t="s">
        <v>29</v>
      </c>
      <c r="H512" s="3" t="s">
        <v>53</v>
      </c>
      <c r="I512" s="3" t="s">
        <v>31</v>
      </c>
      <c r="J512" s="3" t="s">
        <v>51</v>
      </c>
      <c r="K512" s="8">
        <v>44155.684027777781</v>
      </c>
      <c r="L512" s="8">
        <v>45039.163194444445</v>
      </c>
      <c r="M512" s="3">
        <v>0</v>
      </c>
      <c r="N512" s="3">
        <v>0</v>
      </c>
      <c r="O512" s="3" t="s">
        <v>116</v>
      </c>
      <c r="P512" s="10" t="s">
        <v>576</v>
      </c>
      <c r="Q512" s="3" t="s">
        <v>43</v>
      </c>
      <c r="R512" s="3">
        <v>5</v>
      </c>
      <c r="S512" s="3">
        <v>0</v>
      </c>
      <c r="T512" s="3" t="s">
        <v>54</v>
      </c>
      <c r="U512" s="3" t="s">
        <v>55</v>
      </c>
      <c r="V512" s="3" t="s">
        <v>37</v>
      </c>
      <c r="W512" s="11" t="str" cm="1">
        <f t="array" ref="W512">IF(H512="Request","No SLA for Request", IF(F512="Emergency",B512+(4/24), WORKDAY(B512, _xlfn.IFS(F512="High", 3, F512="Normal", 5, F512="Low", 10))))</f>
        <v>No SLA for Request</v>
      </c>
      <c r="X512" t="str">
        <f t="shared" si="7"/>
        <v>N/A</v>
      </c>
    </row>
    <row r="513" spans="1:24" ht="12.75" x14ac:dyDescent="0.2">
      <c r="A513" s="3">
        <v>111537</v>
      </c>
      <c r="B513" s="8">
        <v>44123.770833333336</v>
      </c>
      <c r="C513" s="3" t="s">
        <v>555</v>
      </c>
      <c r="D513" s="3" t="s">
        <v>52</v>
      </c>
      <c r="E513" s="3" t="s">
        <v>580</v>
      </c>
      <c r="F513" s="3" t="s">
        <v>188</v>
      </c>
      <c r="G513" s="3" t="s">
        <v>29</v>
      </c>
      <c r="H513" s="3" t="s">
        <v>30</v>
      </c>
      <c r="I513" s="3" t="s">
        <v>31</v>
      </c>
      <c r="J513" s="3" t="s">
        <v>51</v>
      </c>
      <c r="K513" s="8">
        <v>44123.770833333336</v>
      </c>
      <c r="L513" s="8">
        <v>45036.270833333336</v>
      </c>
      <c r="M513" s="3">
        <v>0</v>
      </c>
      <c r="N513" s="3">
        <v>1</v>
      </c>
      <c r="O513" s="3" t="s">
        <v>116</v>
      </c>
      <c r="P513" s="10" t="s">
        <v>576</v>
      </c>
      <c r="Q513" s="3" t="s">
        <v>43</v>
      </c>
      <c r="R513" s="3">
        <v>4</v>
      </c>
      <c r="S513" s="3">
        <v>1</v>
      </c>
      <c r="T513" s="3" t="s">
        <v>54</v>
      </c>
      <c r="U513" s="3" t="s">
        <v>55</v>
      </c>
      <c r="V513" s="3" t="s">
        <v>51</v>
      </c>
      <c r="W513" s="11" cm="1">
        <f t="array" ref="W513">IF(H513="Request","No SLA for Request", IF(F513="Emergency",B513+(4/24), WORKDAY(B513, _xlfn.IFS(F513="High", 3, F513="Normal", 5, F513="Low", 10))))</f>
        <v>44137</v>
      </c>
      <c r="X513" t="str">
        <f t="shared" si="7"/>
        <v>No</v>
      </c>
    </row>
    <row r="514" spans="1:24" ht="12.75" x14ac:dyDescent="0.2">
      <c r="A514" s="3">
        <v>111532</v>
      </c>
      <c r="B514" s="8">
        <v>44113.638194444444</v>
      </c>
      <c r="C514" s="3" t="s">
        <v>556</v>
      </c>
      <c r="D514" s="3" t="s">
        <v>49</v>
      </c>
      <c r="E514" s="3" t="s">
        <v>50</v>
      </c>
      <c r="F514" s="3" t="s">
        <v>188</v>
      </c>
      <c r="G514" s="3" t="s">
        <v>29</v>
      </c>
      <c r="H514" s="3" t="s">
        <v>53</v>
      </c>
      <c r="I514" s="3" t="s">
        <v>31</v>
      </c>
      <c r="J514" s="3" t="s">
        <v>51</v>
      </c>
      <c r="K514" s="8">
        <v>44113.638888888891</v>
      </c>
      <c r="L514" s="8">
        <v>45026.138194444444</v>
      </c>
      <c r="M514" s="3">
        <v>0</v>
      </c>
      <c r="N514" s="3">
        <v>1</v>
      </c>
      <c r="O514" s="3" t="s">
        <v>116</v>
      </c>
      <c r="P514" s="10" t="s">
        <v>576</v>
      </c>
      <c r="Q514" s="3" t="s">
        <v>34</v>
      </c>
      <c r="R514" s="3">
        <v>2</v>
      </c>
      <c r="S514" s="3">
        <v>0</v>
      </c>
      <c r="T514" s="3" t="s">
        <v>54</v>
      </c>
      <c r="U514" s="3" t="s">
        <v>62</v>
      </c>
      <c r="V514" s="3" t="s">
        <v>37</v>
      </c>
      <c r="W514" s="11" t="str" cm="1">
        <f t="array" ref="W514">IF(H514="Request","No SLA for Request", IF(F514="Emergency",B514+(4/24), WORKDAY(B514, _xlfn.IFS(F514="High", 3, F514="Normal", 5, F514="Low", 10))))</f>
        <v>No SLA for Request</v>
      </c>
      <c r="X514" t="str">
        <f t="shared" si="7"/>
        <v>N/A</v>
      </c>
    </row>
    <row r="515" spans="1:24" ht="12.75" x14ac:dyDescent="0.2">
      <c r="A515" s="3">
        <v>111477</v>
      </c>
      <c r="B515" s="8">
        <v>44039.613888888889</v>
      </c>
      <c r="C515" s="3" t="s">
        <v>194</v>
      </c>
      <c r="D515" s="3" t="s">
        <v>49</v>
      </c>
      <c r="E515" s="3" t="s">
        <v>50</v>
      </c>
      <c r="F515" s="3" t="s">
        <v>188</v>
      </c>
      <c r="G515" s="3" t="s">
        <v>29</v>
      </c>
      <c r="H515" s="3" t="s">
        <v>53</v>
      </c>
      <c r="I515" s="3" t="s">
        <v>31</v>
      </c>
      <c r="J515" s="3" t="s">
        <v>32</v>
      </c>
      <c r="K515" s="8">
        <v>44075.744444444441</v>
      </c>
      <c r="L515" s="8">
        <v>44040.113888888889</v>
      </c>
      <c r="M515" s="3">
        <v>0</v>
      </c>
      <c r="N515" s="3">
        <v>1</v>
      </c>
      <c r="O515" s="3" t="s">
        <v>33</v>
      </c>
      <c r="P515" s="10" t="s">
        <v>576</v>
      </c>
      <c r="Q515" s="3" t="s">
        <v>34</v>
      </c>
      <c r="R515" s="3">
        <v>5</v>
      </c>
      <c r="S515" s="3">
        <v>0</v>
      </c>
      <c r="T515" s="3" t="s">
        <v>54</v>
      </c>
      <c r="U515" s="3" t="s">
        <v>62</v>
      </c>
      <c r="V515" s="3" t="s">
        <v>48</v>
      </c>
      <c r="W515" s="11" t="str" cm="1">
        <f t="array" ref="W515">IF(H515="Request","No SLA for Request", IF(F515="Emergency",B515+(4/24), WORKDAY(B515, _xlfn.IFS(F515="High", 3, F515="Normal", 5, F515="Low", 10))))</f>
        <v>No SLA for Request</v>
      </c>
      <c r="X515" t="str">
        <f t="shared" ref="X515:X537" si="8">IF(K515&gt;=W515,"Yes",IF(W515="No SLA for Request","N/A","No"))</f>
        <v>N/A</v>
      </c>
    </row>
    <row r="516" spans="1:24" ht="12.75" x14ac:dyDescent="0.2">
      <c r="A516" s="3">
        <v>111472</v>
      </c>
      <c r="B516" s="8">
        <v>44029.449305555558</v>
      </c>
      <c r="C516" s="3" t="s">
        <v>557</v>
      </c>
      <c r="D516" s="3" t="s">
        <v>63</v>
      </c>
      <c r="E516" s="3" t="s">
        <v>64</v>
      </c>
      <c r="F516" s="3" t="s">
        <v>188</v>
      </c>
      <c r="G516" s="3" t="s">
        <v>29</v>
      </c>
      <c r="H516" s="3" t="s">
        <v>30</v>
      </c>
      <c r="I516" s="3" t="s">
        <v>31</v>
      </c>
      <c r="J516" s="3" t="s">
        <v>32</v>
      </c>
      <c r="K516" s="8">
        <v>44040.758333333331</v>
      </c>
      <c r="L516" s="8">
        <v>44029.949305555558</v>
      </c>
      <c r="M516" s="3">
        <v>0</v>
      </c>
      <c r="N516" s="3">
        <v>1</v>
      </c>
      <c r="O516" s="3" t="s">
        <v>33</v>
      </c>
      <c r="P516" s="10" t="s">
        <v>576</v>
      </c>
      <c r="Q516" s="3" t="s">
        <v>34</v>
      </c>
      <c r="R516" s="3">
        <v>18</v>
      </c>
      <c r="S516" s="3">
        <v>1</v>
      </c>
      <c r="T516" s="3" t="s">
        <v>54</v>
      </c>
      <c r="U516" s="3" t="s">
        <v>62</v>
      </c>
      <c r="V516" s="3" t="s">
        <v>48</v>
      </c>
      <c r="W516" s="11" cm="1">
        <f t="array" ref="W516">IF(H516="Request","No SLA for Request", IF(F516="Emergency",B516+(4/24), WORKDAY(B516, _xlfn.IFS(F516="High", 3, F516="Normal", 5, F516="Low", 10))))</f>
        <v>44043</v>
      </c>
      <c r="X516" t="str">
        <f t="shared" si="8"/>
        <v>No</v>
      </c>
    </row>
    <row r="517" spans="1:24" ht="12.75" x14ac:dyDescent="0.2">
      <c r="A517" s="3">
        <v>111465</v>
      </c>
      <c r="B517" s="8">
        <v>44021.519444444442</v>
      </c>
      <c r="C517" s="3" t="s">
        <v>376</v>
      </c>
      <c r="D517" s="3" t="s">
        <v>142</v>
      </c>
      <c r="E517" s="3" t="s">
        <v>613</v>
      </c>
      <c r="F517" s="3" t="s">
        <v>188</v>
      </c>
      <c r="G517" s="3" t="s">
        <v>577</v>
      </c>
      <c r="H517" s="3" t="s">
        <v>30</v>
      </c>
      <c r="I517" s="3" t="s">
        <v>31</v>
      </c>
      <c r="J517" s="3" t="s">
        <v>51</v>
      </c>
      <c r="K517" s="8">
        <v>44021.519444444442</v>
      </c>
      <c r="L517" s="8">
        <v>44022.019444444442</v>
      </c>
      <c r="M517" s="3">
        <v>1</v>
      </c>
      <c r="N517" s="3">
        <v>0</v>
      </c>
      <c r="O517" s="3" t="s">
        <v>85</v>
      </c>
      <c r="P517" s="10" t="s">
        <v>576</v>
      </c>
      <c r="Q517" s="3" t="s">
        <v>77</v>
      </c>
      <c r="R517" s="3">
        <v>1</v>
      </c>
      <c r="S517" s="3">
        <v>0</v>
      </c>
      <c r="T517" s="3" t="s">
        <v>54</v>
      </c>
      <c r="U517" s="3" t="s">
        <v>55</v>
      </c>
      <c r="V517" s="3" t="s">
        <v>37</v>
      </c>
      <c r="W517" s="11" cm="1">
        <f t="array" ref="W517">IF(H517="Request","No SLA for Request", IF(F517="Emergency",B517+(4/24), WORKDAY(B517, _xlfn.IFS(F517="High", 3, F517="Normal", 5, F517="Low", 10))))</f>
        <v>44035</v>
      </c>
      <c r="X517" t="str">
        <f t="shared" si="8"/>
        <v>No</v>
      </c>
    </row>
    <row r="518" spans="1:24" ht="12.75" x14ac:dyDescent="0.2">
      <c r="A518" s="3">
        <v>111433</v>
      </c>
      <c r="B518" s="8">
        <v>43985.607638888891</v>
      </c>
      <c r="C518" s="3" t="s">
        <v>558</v>
      </c>
      <c r="D518" s="3" t="s">
        <v>49</v>
      </c>
      <c r="E518" s="3" t="s">
        <v>50</v>
      </c>
      <c r="F518" s="3" t="s">
        <v>188</v>
      </c>
      <c r="G518" s="3" t="s">
        <v>29</v>
      </c>
      <c r="H518" s="3" t="s">
        <v>53</v>
      </c>
      <c r="I518" s="3" t="s">
        <v>31</v>
      </c>
      <c r="J518" s="3" t="s">
        <v>32</v>
      </c>
      <c r="K518" s="8">
        <v>44008.748611111114</v>
      </c>
      <c r="L518" s="12" t="s">
        <v>576</v>
      </c>
      <c r="M518" s="3">
        <v>0</v>
      </c>
      <c r="N518" s="3">
        <v>1</v>
      </c>
      <c r="O518" s="3" t="s">
        <v>33</v>
      </c>
      <c r="P518" s="10" t="s">
        <v>576</v>
      </c>
      <c r="Q518" s="3" t="s">
        <v>34</v>
      </c>
      <c r="R518" s="3">
        <v>18</v>
      </c>
      <c r="S518" s="3">
        <v>3</v>
      </c>
      <c r="T518" s="3" t="s">
        <v>54</v>
      </c>
      <c r="U518" s="3" t="s">
        <v>62</v>
      </c>
      <c r="V518" s="3" t="s">
        <v>37</v>
      </c>
      <c r="W518" s="11" t="str" cm="1">
        <f t="array" ref="W518">IF(H518="Request","No SLA for Request", IF(F518="Emergency",B518+(4/24), WORKDAY(B518, _xlfn.IFS(F518="High", 3, F518="Normal", 5, F518="Low", 10))))</f>
        <v>No SLA for Request</v>
      </c>
      <c r="X518" t="str">
        <f t="shared" si="8"/>
        <v>N/A</v>
      </c>
    </row>
    <row r="519" spans="1:24" ht="12.75" x14ac:dyDescent="0.2">
      <c r="A519" s="3">
        <v>111427</v>
      </c>
      <c r="B519" s="8">
        <v>43980.520833333336</v>
      </c>
      <c r="C519" s="3" t="s">
        <v>652</v>
      </c>
      <c r="D519" s="3" t="s">
        <v>73</v>
      </c>
      <c r="E519" s="3" t="s">
        <v>74</v>
      </c>
      <c r="F519" s="3" t="s">
        <v>188</v>
      </c>
      <c r="G519" s="3" t="s">
        <v>29</v>
      </c>
      <c r="H519" s="3" t="s">
        <v>53</v>
      </c>
      <c r="I519" s="3" t="s">
        <v>31</v>
      </c>
      <c r="J519" s="3" t="s">
        <v>32</v>
      </c>
      <c r="K519" s="8">
        <v>44001.729861111111</v>
      </c>
      <c r="L519" s="12" t="s">
        <v>576</v>
      </c>
      <c r="M519" s="3">
        <v>0</v>
      </c>
      <c r="N519" s="3">
        <v>1</v>
      </c>
      <c r="O519" s="3" t="s">
        <v>33</v>
      </c>
      <c r="P519" s="10" t="s">
        <v>576</v>
      </c>
      <c r="Q519" s="3" t="s">
        <v>34</v>
      </c>
      <c r="R519" s="3">
        <v>4</v>
      </c>
      <c r="S519" s="3">
        <v>0</v>
      </c>
      <c r="T519" s="3" t="s">
        <v>54</v>
      </c>
      <c r="U519" s="3" t="s">
        <v>62</v>
      </c>
      <c r="V519" s="3" t="s">
        <v>37</v>
      </c>
      <c r="W519" s="11" t="str" cm="1">
        <f t="array" ref="W519">IF(H519="Request","No SLA for Request", IF(F519="Emergency",B519+(4/24), WORKDAY(B519, _xlfn.IFS(F519="High", 3, F519="Normal", 5, F519="Low", 10))))</f>
        <v>No SLA for Request</v>
      </c>
      <c r="X519" t="str">
        <f t="shared" si="8"/>
        <v>N/A</v>
      </c>
    </row>
    <row r="520" spans="1:24" ht="12.75" x14ac:dyDescent="0.2">
      <c r="A520" s="3">
        <v>111405</v>
      </c>
      <c r="B520" s="8">
        <v>43924.395138888889</v>
      </c>
      <c r="C520" s="3" t="s">
        <v>559</v>
      </c>
      <c r="D520" s="3" t="s">
        <v>56</v>
      </c>
      <c r="E520" s="3" t="s">
        <v>57</v>
      </c>
      <c r="F520" s="3" t="s">
        <v>188</v>
      </c>
      <c r="G520" s="3" t="s">
        <v>29</v>
      </c>
      <c r="H520" s="3" t="s">
        <v>30</v>
      </c>
      <c r="I520" s="3" t="s">
        <v>31</v>
      </c>
      <c r="J520" s="3" t="s">
        <v>32</v>
      </c>
      <c r="K520" s="8">
        <v>43998.743750000001</v>
      </c>
      <c r="L520" s="12" t="s">
        <v>576</v>
      </c>
      <c r="M520" s="3">
        <v>0</v>
      </c>
      <c r="N520" s="3">
        <v>1</v>
      </c>
      <c r="O520" s="3" t="s">
        <v>33</v>
      </c>
      <c r="P520" s="10" t="s">
        <v>576</v>
      </c>
      <c r="Q520" s="3" t="s">
        <v>43</v>
      </c>
      <c r="R520" s="3">
        <v>11</v>
      </c>
      <c r="S520" s="3">
        <v>4</v>
      </c>
      <c r="T520" s="3" t="s">
        <v>35</v>
      </c>
      <c r="U520" s="3" t="s">
        <v>36</v>
      </c>
      <c r="V520" s="3" t="s">
        <v>37</v>
      </c>
      <c r="W520" s="11" cm="1">
        <f t="array" ref="W520">IF(H520="Request","No SLA for Request", IF(F520="Emergency",B520+(4/24), WORKDAY(B520, _xlfn.IFS(F520="High", 3, F520="Normal", 5, F520="Low", 10))))</f>
        <v>43938</v>
      </c>
      <c r="X520" t="str">
        <f t="shared" si="8"/>
        <v>Yes</v>
      </c>
    </row>
    <row r="521" spans="1:24" ht="12.75" x14ac:dyDescent="0.2">
      <c r="A521" s="3">
        <v>111422</v>
      </c>
      <c r="B521" s="8">
        <v>43966.756944444445</v>
      </c>
      <c r="C521" s="3" t="s">
        <v>560</v>
      </c>
      <c r="D521" s="3" t="s">
        <v>56</v>
      </c>
      <c r="E521" s="3" t="s">
        <v>57</v>
      </c>
      <c r="F521" s="3" t="s">
        <v>188</v>
      </c>
      <c r="G521" s="3" t="s">
        <v>29</v>
      </c>
      <c r="H521" s="3" t="s">
        <v>30</v>
      </c>
      <c r="I521" s="3" t="s">
        <v>31</v>
      </c>
      <c r="J521" s="3" t="s">
        <v>32</v>
      </c>
      <c r="K521" s="8">
        <v>43998.741666666669</v>
      </c>
      <c r="L521" s="12" t="s">
        <v>576</v>
      </c>
      <c r="M521" s="3">
        <v>0</v>
      </c>
      <c r="N521" s="3">
        <v>1</v>
      </c>
      <c r="O521" s="3" t="s">
        <v>33</v>
      </c>
      <c r="P521" s="10" t="s">
        <v>576</v>
      </c>
      <c r="Q521" s="3" t="s">
        <v>43</v>
      </c>
      <c r="R521" s="3">
        <v>9</v>
      </c>
      <c r="S521" s="3">
        <v>2</v>
      </c>
      <c r="T521" s="3" t="s">
        <v>35</v>
      </c>
      <c r="U521" s="3" t="s">
        <v>36</v>
      </c>
      <c r="V521" s="3" t="s">
        <v>37</v>
      </c>
      <c r="W521" s="11" cm="1">
        <f t="array" ref="W521">IF(H521="Request","No SLA for Request", IF(F521="Emergency",B521+(4/24), WORKDAY(B521, _xlfn.IFS(F521="High", 3, F521="Normal", 5, F521="Low", 10))))</f>
        <v>43980</v>
      </c>
      <c r="X521" t="str">
        <f t="shared" si="8"/>
        <v>Yes</v>
      </c>
    </row>
    <row r="522" spans="1:24" ht="12.75" x14ac:dyDescent="0.2">
      <c r="A522" s="3">
        <v>111414</v>
      </c>
      <c r="B522" s="8">
        <v>43938.805555555555</v>
      </c>
      <c r="C522" s="3" t="s">
        <v>561</v>
      </c>
      <c r="D522" s="3" t="s">
        <v>73</v>
      </c>
      <c r="E522" s="3" t="s">
        <v>74</v>
      </c>
      <c r="F522" s="3" t="s">
        <v>188</v>
      </c>
      <c r="G522" s="3" t="s">
        <v>29</v>
      </c>
      <c r="H522" s="3" t="s">
        <v>53</v>
      </c>
      <c r="I522" s="3" t="s">
        <v>31</v>
      </c>
      <c r="J522" s="3" t="s">
        <v>51</v>
      </c>
      <c r="K522" s="8">
        <v>43983.455555555556</v>
      </c>
      <c r="L522" s="8">
        <v>44851.305555555555</v>
      </c>
      <c r="M522" s="3">
        <v>0</v>
      </c>
      <c r="N522" s="3">
        <v>0</v>
      </c>
      <c r="O522" s="3" t="s">
        <v>85</v>
      </c>
      <c r="P522" s="10" t="s">
        <v>576</v>
      </c>
      <c r="Q522" s="3" t="s">
        <v>34</v>
      </c>
      <c r="R522" s="3">
        <v>7</v>
      </c>
      <c r="S522" s="3">
        <v>0</v>
      </c>
      <c r="T522" s="3" t="s">
        <v>54</v>
      </c>
      <c r="U522" s="3" t="s">
        <v>62</v>
      </c>
      <c r="V522" s="3" t="s">
        <v>37</v>
      </c>
      <c r="W522" s="11" t="str" cm="1">
        <f t="array" ref="W522">IF(H522="Request","No SLA for Request", IF(F522="Emergency",B522+(4/24), WORKDAY(B522, _xlfn.IFS(F522="High", 3, F522="Normal", 5, F522="Low", 10))))</f>
        <v>No SLA for Request</v>
      </c>
      <c r="X522" t="str">
        <f t="shared" si="8"/>
        <v>N/A</v>
      </c>
    </row>
    <row r="523" spans="1:24" ht="12.75" x14ac:dyDescent="0.2">
      <c r="A523" s="3">
        <v>111392</v>
      </c>
      <c r="B523" s="8">
        <v>43888.384722222225</v>
      </c>
      <c r="C523" s="3" t="s">
        <v>195</v>
      </c>
      <c r="D523" s="3" t="s">
        <v>26</v>
      </c>
      <c r="E523" s="3" t="s">
        <v>27</v>
      </c>
      <c r="F523" s="3" t="s">
        <v>188</v>
      </c>
      <c r="G523" s="3" t="s">
        <v>29</v>
      </c>
      <c r="H523" s="3" t="s">
        <v>30</v>
      </c>
      <c r="I523" s="3" t="s">
        <v>31</v>
      </c>
      <c r="J523" s="3" t="s">
        <v>32</v>
      </c>
      <c r="K523" s="8">
        <v>43923.724999999999</v>
      </c>
      <c r="L523" s="12" t="s">
        <v>576</v>
      </c>
      <c r="M523" s="3">
        <v>0</v>
      </c>
      <c r="N523" s="3">
        <v>1</v>
      </c>
      <c r="O523" s="3" t="s">
        <v>33</v>
      </c>
      <c r="P523" s="10" t="s">
        <v>576</v>
      </c>
      <c r="Q523" s="3" t="s">
        <v>34</v>
      </c>
      <c r="R523" s="3">
        <v>25</v>
      </c>
      <c r="S523" s="3">
        <v>5</v>
      </c>
      <c r="T523" s="3" t="s">
        <v>35</v>
      </c>
      <c r="U523" s="3" t="s">
        <v>62</v>
      </c>
      <c r="V523" s="3" t="s">
        <v>37</v>
      </c>
      <c r="W523" s="11" cm="1">
        <f t="array" ref="W523">IF(H523="Request","No SLA for Request", IF(F523="Emergency",B523+(4/24), WORKDAY(B523, _xlfn.IFS(F523="High", 3, F523="Normal", 5, F523="Low", 10))))</f>
        <v>43902</v>
      </c>
      <c r="X523" t="str">
        <f t="shared" si="8"/>
        <v>Yes</v>
      </c>
    </row>
    <row r="524" spans="1:24" ht="12.75" x14ac:dyDescent="0.2">
      <c r="A524" s="3">
        <v>111394</v>
      </c>
      <c r="B524" s="8">
        <v>43892.645138888889</v>
      </c>
      <c r="C524" s="3" t="s">
        <v>562</v>
      </c>
      <c r="D524" s="3" t="s">
        <v>73</v>
      </c>
      <c r="E524" s="3" t="s">
        <v>74</v>
      </c>
      <c r="F524" s="3" t="s">
        <v>188</v>
      </c>
      <c r="G524" s="3" t="s">
        <v>29</v>
      </c>
      <c r="H524" s="3" t="s">
        <v>53</v>
      </c>
      <c r="I524" s="3" t="s">
        <v>31</v>
      </c>
      <c r="J524" s="3" t="s">
        <v>32</v>
      </c>
      <c r="K524" s="8">
        <v>43893.740277777775</v>
      </c>
      <c r="L524" s="12" t="s">
        <v>576</v>
      </c>
      <c r="M524" s="3">
        <v>0</v>
      </c>
      <c r="N524" s="3">
        <v>1</v>
      </c>
      <c r="O524" s="3" t="s">
        <v>33</v>
      </c>
      <c r="P524" s="10" t="s">
        <v>576</v>
      </c>
      <c r="Q524" s="3" t="s">
        <v>34</v>
      </c>
      <c r="R524" s="3">
        <v>7</v>
      </c>
      <c r="S524" s="3">
        <v>1</v>
      </c>
      <c r="T524" s="3" t="s">
        <v>54</v>
      </c>
      <c r="U524" s="3" t="s">
        <v>62</v>
      </c>
      <c r="V524" s="3" t="s">
        <v>37</v>
      </c>
      <c r="W524" s="11" t="str" cm="1">
        <f t="array" ref="W524">IF(H524="Request","No SLA for Request", IF(F524="Emergency",B524+(4/24), WORKDAY(B524, _xlfn.IFS(F524="High", 3, F524="Normal", 5, F524="Low", 10))))</f>
        <v>No SLA for Request</v>
      </c>
      <c r="X524" t="str">
        <f t="shared" si="8"/>
        <v>N/A</v>
      </c>
    </row>
    <row r="525" spans="1:24" ht="12.75" x14ac:dyDescent="0.2">
      <c r="A525" s="3">
        <v>111285</v>
      </c>
      <c r="B525" s="8">
        <v>43686.545138888891</v>
      </c>
      <c r="C525" s="3" t="s">
        <v>563</v>
      </c>
      <c r="D525" s="3" t="s">
        <v>26</v>
      </c>
      <c r="E525" s="3" t="s">
        <v>27</v>
      </c>
      <c r="F525" s="3" t="s">
        <v>188</v>
      </c>
      <c r="G525" s="3" t="s">
        <v>29</v>
      </c>
      <c r="H525" s="3" t="s">
        <v>30</v>
      </c>
      <c r="I525" s="3" t="s">
        <v>31</v>
      </c>
      <c r="J525" s="3" t="s">
        <v>32</v>
      </c>
      <c r="K525" s="8">
        <v>43812.754166666666</v>
      </c>
      <c r="L525" s="8">
        <v>43687.045138888891</v>
      </c>
      <c r="M525" s="3">
        <v>0</v>
      </c>
      <c r="N525" s="3">
        <v>1</v>
      </c>
      <c r="O525" s="3" t="s">
        <v>33</v>
      </c>
      <c r="P525" s="10" t="s">
        <v>576</v>
      </c>
      <c r="Q525" s="3" t="s">
        <v>34</v>
      </c>
      <c r="R525" s="3">
        <v>26</v>
      </c>
      <c r="S525" s="3">
        <v>2</v>
      </c>
      <c r="T525" s="10" t="s">
        <v>576</v>
      </c>
      <c r="U525" s="10" t="s">
        <v>576</v>
      </c>
      <c r="V525" s="3" t="s">
        <v>37</v>
      </c>
      <c r="W525" s="11" cm="1">
        <f t="array" ref="W525">IF(H525="Request","No SLA for Request", IF(F525="Emergency",B525+(4/24), WORKDAY(B525, _xlfn.IFS(F525="High", 3, F525="Normal", 5, F525="Low", 10))))</f>
        <v>43700</v>
      </c>
      <c r="X525" t="str">
        <f t="shared" si="8"/>
        <v>Yes</v>
      </c>
    </row>
    <row r="526" spans="1:24" ht="12.75" x14ac:dyDescent="0.2">
      <c r="A526" s="3">
        <v>111295</v>
      </c>
      <c r="B526" s="8">
        <v>43710.717361111114</v>
      </c>
      <c r="C526" s="3" t="s">
        <v>564</v>
      </c>
      <c r="D526" s="3" t="s">
        <v>49</v>
      </c>
      <c r="E526" s="3" t="s">
        <v>50</v>
      </c>
      <c r="F526" s="3" t="s">
        <v>188</v>
      </c>
      <c r="G526" s="3" t="s">
        <v>29</v>
      </c>
      <c r="H526" s="3" t="s">
        <v>53</v>
      </c>
      <c r="I526" s="3" t="s">
        <v>31</v>
      </c>
      <c r="J526" s="3" t="s">
        <v>32</v>
      </c>
      <c r="K526" s="8">
        <v>43783.749305555553</v>
      </c>
      <c r="L526" s="8">
        <v>43711.217361111114</v>
      </c>
      <c r="M526" s="3">
        <v>0</v>
      </c>
      <c r="N526" s="3">
        <v>1</v>
      </c>
      <c r="O526" s="3" t="s">
        <v>33</v>
      </c>
      <c r="P526" s="10" t="s">
        <v>576</v>
      </c>
      <c r="Q526" s="3" t="s">
        <v>34</v>
      </c>
      <c r="R526" s="3">
        <v>13</v>
      </c>
      <c r="S526" s="3">
        <v>0</v>
      </c>
      <c r="T526" s="10" t="s">
        <v>576</v>
      </c>
      <c r="U526" s="10" t="s">
        <v>576</v>
      </c>
      <c r="V526" s="3" t="s">
        <v>48</v>
      </c>
      <c r="W526" s="11" t="str" cm="1">
        <f t="array" ref="W526">IF(H526="Request","No SLA for Request", IF(F526="Emergency",B526+(4/24), WORKDAY(B526, _xlfn.IFS(F526="High", 3, F526="Normal", 5, F526="Low", 10))))</f>
        <v>No SLA for Request</v>
      </c>
      <c r="X526" t="str">
        <f t="shared" si="8"/>
        <v>N/A</v>
      </c>
    </row>
    <row r="527" spans="1:24" ht="12.75" x14ac:dyDescent="0.2">
      <c r="A527" s="3">
        <v>111287</v>
      </c>
      <c r="B527" s="8">
        <v>43691.709027777775</v>
      </c>
      <c r="C527" s="3" t="s">
        <v>196</v>
      </c>
      <c r="D527" s="3" t="s">
        <v>73</v>
      </c>
      <c r="E527" s="3" t="s">
        <v>74</v>
      </c>
      <c r="F527" s="3" t="s">
        <v>188</v>
      </c>
      <c r="G527" s="3" t="s">
        <v>29</v>
      </c>
      <c r="H527" s="3" t="s">
        <v>30</v>
      </c>
      <c r="I527" s="3" t="s">
        <v>31</v>
      </c>
      <c r="J527" s="3" t="s">
        <v>32</v>
      </c>
      <c r="K527" s="8">
        <v>43704.715277777781</v>
      </c>
      <c r="L527" s="8">
        <v>43692.209027777775</v>
      </c>
      <c r="M527" s="3">
        <v>0</v>
      </c>
      <c r="N527" s="3">
        <v>1</v>
      </c>
      <c r="O527" s="3" t="s">
        <v>33</v>
      </c>
      <c r="P527" s="10" t="s">
        <v>576</v>
      </c>
      <c r="Q527" s="3" t="s">
        <v>34</v>
      </c>
      <c r="R527" s="3">
        <v>7</v>
      </c>
      <c r="S527" s="3">
        <v>2</v>
      </c>
      <c r="T527" s="10" t="s">
        <v>576</v>
      </c>
      <c r="U527" s="10" t="s">
        <v>576</v>
      </c>
      <c r="V527" s="3" t="s">
        <v>37</v>
      </c>
      <c r="W527" s="11" cm="1">
        <f t="array" ref="W527">IF(H527="Request","No SLA for Request", IF(F527="Emergency",B527+(4/24), WORKDAY(B527, _xlfn.IFS(F527="High", 3, F527="Normal", 5, F527="Low", 10))))</f>
        <v>43705</v>
      </c>
      <c r="X527" t="str">
        <f t="shared" si="8"/>
        <v>No</v>
      </c>
    </row>
    <row r="528" spans="1:24" ht="12.75" x14ac:dyDescent="0.2">
      <c r="A528" s="3">
        <v>111241</v>
      </c>
      <c r="B528" s="8">
        <v>43641.431944444441</v>
      </c>
      <c r="C528" s="3" t="s">
        <v>468</v>
      </c>
      <c r="D528" s="3" t="s">
        <v>73</v>
      </c>
      <c r="E528" s="3" t="s">
        <v>74</v>
      </c>
      <c r="F528" s="3" t="s">
        <v>188</v>
      </c>
      <c r="G528" s="3" t="s">
        <v>29</v>
      </c>
      <c r="H528" s="3" t="s">
        <v>53</v>
      </c>
      <c r="I528" s="3" t="s">
        <v>31</v>
      </c>
      <c r="J528" s="3" t="s">
        <v>32</v>
      </c>
      <c r="K528" s="8">
        <v>43704.710416666669</v>
      </c>
      <c r="L528" s="8">
        <v>43641.931944444441</v>
      </c>
      <c r="M528" s="3">
        <v>0</v>
      </c>
      <c r="N528" s="3">
        <v>1</v>
      </c>
      <c r="O528" s="3" t="s">
        <v>33</v>
      </c>
      <c r="P528" s="10" t="s">
        <v>576</v>
      </c>
      <c r="Q528" s="3" t="s">
        <v>34</v>
      </c>
      <c r="R528" s="3">
        <v>26</v>
      </c>
      <c r="S528" s="3">
        <v>14</v>
      </c>
      <c r="T528" s="10" t="s">
        <v>576</v>
      </c>
      <c r="U528" s="10" t="s">
        <v>576</v>
      </c>
      <c r="V528" s="3" t="s">
        <v>37</v>
      </c>
      <c r="W528" s="11" t="str" cm="1">
        <f t="array" ref="W528">IF(H528="Request","No SLA for Request", IF(F528="Emergency",B528+(4/24), WORKDAY(B528, _xlfn.IFS(F528="High", 3, F528="Normal", 5, F528="Low", 10))))</f>
        <v>No SLA for Request</v>
      </c>
      <c r="X528" t="str">
        <f t="shared" si="8"/>
        <v>N/A</v>
      </c>
    </row>
    <row r="529" spans="1:24" ht="12.75" x14ac:dyDescent="0.2">
      <c r="A529" s="3">
        <v>111270</v>
      </c>
      <c r="B529" s="8">
        <v>43670.399305555555</v>
      </c>
      <c r="C529" s="3" t="s">
        <v>565</v>
      </c>
      <c r="D529" s="3" t="s">
        <v>73</v>
      </c>
      <c r="E529" s="3" t="s">
        <v>74</v>
      </c>
      <c r="F529" s="3" t="s">
        <v>188</v>
      </c>
      <c r="G529" s="3" t="s">
        <v>29</v>
      </c>
      <c r="H529" s="3" t="s">
        <v>30</v>
      </c>
      <c r="I529" s="3" t="s">
        <v>31</v>
      </c>
      <c r="J529" s="3" t="s">
        <v>32</v>
      </c>
      <c r="K529" s="8">
        <v>43672.556944444441</v>
      </c>
      <c r="L529" s="8">
        <v>43670.708333333336</v>
      </c>
      <c r="M529" s="3">
        <v>0</v>
      </c>
      <c r="N529" s="3">
        <v>1</v>
      </c>
      <c r="O529" s="3" t="s">
        <v>33</v>
      </c>
      <c r="P529" s="10" t="s">
        <v>576</v>
      </c>
      <c r="Q529" s="3" t="s">
        <v>34</v>
      </c>
      <c r="R529" s="3">
        <v>7</v>
      </c>
      <c r="S529" s="3">
        <v>1</v>
      </c>
      <c r="T529" s="10" t="s">
        <v>576</v>
      </c>
      <c r="U529" s="10" t="s">
        <v>576</v>
      </c>
      <c r="V529" s="3" t="s">
        <v>48</v>
      </c>
      <c r="W529" s="11" cm="1">
        <f t="array" ref="W529">IF(H529="Request","No SLA for Request", IF(F529="Emergency",B529+(4/24), WORKDAY(B529, _xlfn.IFS(F529="High", 3, F529="Normal", 5, F529="Low", 10))))</f>
        <v>43684</v>
      </c>
      <c r="X529" t="str">
        <f t="shared" si="8"/>
        <v>No</v>
      </c>
    </row>
    <row r="530" spans="1:24" ht="12.75" x14ac:dyDescent="0.2">
      <c r="A530" s="3">
        <v>111218</v>
      </c>
      <c r="B530" s="8">
        <v>43615.585416666669</v>
      </c>
      <c r="C530" s="3" t="s">
        <v>653</v>
      </c>
      <c r="D530" s="3" t="s">
        <v>73</v>
      </c>
      <c r="E530" s="3" t="s">
        <v>74</v>
      </c>
      <c r="F530" s="3" t="s">
        <v>188</v>
      </c>
      <c r="G530" s="3" t="s">
        <v>29</v>
      </c>
      <c r="H530" s="3" t="s">
        <v>30</v>
      </c>
      <c r="I530" s="3" t="s">
        <v>31</v>
      </c>
      <c r="J530" s="3" t="s">
        <v>32</v>
      </c>
      <c r="K530" s="8">
        <v>43668.725694444445</v>
      </c>
      <c r="L530" s="12" t="s">
        <v>576</v>
      </c>
      <c r="M530" s="3">
        <v>0</v>
      </c>
      <c r="N530" s="3">
        <v>1</v>
      </c>
      <c r="O530" s="3" t="s">
        <v>33</v>
      </c>
      <c r="P530" s="10" t="s">
        <v>576</v>
      </c>
      <c r="Q530" s="3" t="s">
        <v>34</v>
      </c>
      <c r="R530" s="3">
        <v>36</v>
      </c>
      <c r="S530" s="3">
        <v>1</v>
      </c>
      <c r="T530" s="10" t="s">
        <v>576</v>
      </c>
      <c r="U530" s="10" t="s">
        <v>576</v>
      </c>
      <c r="V530" s="3" t="s">
        <v>48</v>
      </c>
      <c r="W530" s="11" cm="1">
        <f t="array" ref="W530">IF(H530="Request","No SLA for Request", IF(F530="Emergency",B530+(4/24), WORKDAY(B530, _xlfn.IFS(F530="High", 3, F530="Normal", 5, F530="Low", 10))))</f>
        <v>43629</v>
      </c>
      <c r="X530" t="str">
        <f t="shared" si="8"/>
        <v>Yes</v>
      </c>
    </row>
    <row r="531" spans="1:24" ht="12.75" x14ac:dyDescent="0.2">
      <c r="A531" s="3">
        <v>111239</v>
      </c>
      <c r="B531" s="8">
        <v>43636.625</v>
      </c>
      <c r="C531" s="3" t="s">
        <v>566</v>
      </c>
      <c r="D531" s="3" t="s">
        <v>26</v>
      </c>
      <c r="E531" s="3" t="s">
        <v>27</v>
      </c>
      <c r="F531" s="3" t="s">
        <v>188</v>
      </c>
      <c r="G531" s="3" t="s">
        <v>29</v>
      </c>
      <c r="H531" s="3" t="s">
        <v>53</v>
      </c>
      <c r="I531" s="3" t="s">
        <v>31</v>
      </c>
      <c r="J531" s="3" t="s">
        <v>32</v>
      </c>
      <c r="K531" s="8">
        <v>43661.638194444444</v>
      </c>
      <c r="L531" s="8">
        <v>43637.125</v>
      </c>
      <c r="M531" s="3">
        <v>0</v>
      </c>
      <c r="N531" s="3">
        <v>1</v>
      </c>
      <c r="O531" s="3" t="s">
        <v>33</v>
      </c>
      <c r="P531" s="10" t="s">
        <v>576</v>
      </c>
      <c r="Q531" s="3" t="s">
        <v>34</v>
      </c>
      <c r="R531" s="3">
        <v>9</v>
      </c>
      <c r="S531" s="3">
        <v>1</v>
      </c>
      <c r="T531" s="10" t="s">
        <v>576</v>
      </c>
      <c r="U531" s="10" t="s">
        <v>576</v>
      </c>
      <c r="V531" s="3" t="s">
        <v>48</v>
      </c>
      <c r="W531" s="11" t="str" cm="1">
        <f t="array" ref="W531">IF(H531="Request","No SLA for Request", IF(F531="Emergency",B531+(4/24), WORKDAY(B531, _xlfn.IFS(F531="High", 3, F531="Normal", 5, F531="Low", 10))))</f>
        <v>No SLA for Request</v>
      </c>
      <c r="X531" t="str">
        <f t="shared" si="8"/>
        <v>N/A</v>
      </c>
    </row>
    <row r="532" spans="1:24" ht="12.75" x14ac:dyDescent="0.2">
      <c r="A532" s="3">
        <v>111257</v>
      </c>
      <c r="B532" s="8">
        <v>43656.473611111112</v>
      </c>
      <c r="C532" s="3" t="s">
        <v>567</v>
      </c>
      <c r="D532" s="3" t="s">
        <v>26</v>
      </c>
      <c r="E532" s="3" t="s">
        <v>27</v>
      </c>
      <c r="F532" s="3" t="s">
        <v>188</v>
      </c>
      <c r="G532" s="3" t="s">
        <v>29</v>
      </c>
      <c r="H532" s="3" t="s">
        <v>53</v>
      </c>
      <c r="I532" s="3" t="s">
        <v>31</v>
      </c>
      <c r="J532" s="3" t="s">
        <v>32</v>
      </c>
      <c r="K532" s="8">
        <v>43661.636805555558</v>
      </c>
      <c r="L532" s="8">
        <v>43656.973611111112</v>
      </c>
      <c r="M532" s="3">
        <v>0</v>
      </c>
      <c r="N532" s="3">
        <v>1</v>
      </c>
      <c r="O532" s="3" t="s">
        <v>33</v>
      </c>
      <c r="P532" s="10" t="s">
        <v>576</v>
      </c>
      <c r="Q532" s="3" t="s">
        <v>72</v>
      </c>
      <c r="R532" s="3">
        <v>5</v>
      </c>
      <c r="S532" s="3">
        <v>0</v>
      </c>
      <c r="T532" s="10" t="s">
        <v>576</v>
      </c>
      <c r="U532" s="10" t="s">
        <v>576</v>
      </c>
      <c r="V532" s="3" t="s">
        <v>48</v>
      </c>
      <c r="W532" s="11" t="str" cm="1">
        <f t="array" ref="W532">IF(H532="Request","No SLA for Request", IF(F532="Emergency",B532+(4/24), WORKDAY(B532, _xlfn.IFS(F532="High", 3, F532="Normal", 5, F532="Low", 10))))</f>
        <v>No SLA for Request</v>
      </c>
      <c r="X532" t="str">
        <f t="shared" si="8"/>
        <v>N/A</v>
      </c>
    </row>
    <row r="533" spans="1:24" ht="12.75" x14ac:dyDescent="0.2">
      <c r="A533" s="3">
        <v>111236</v>
      </c>
      <c r="B533" s="8">
        <v>43635.541666666664</v>
      </c>
      <c r="C533" s="3" t="s">
        <v>568</v>
      </c>
      <c r="D533" s="3" t="s">
        <v>49</v>
      </c>
      <c r="E533" s="3" t="s">
        <v>50</v>
      </c>
      <c r="F533" s="3" t="s">
        <v>188</v>
      </c>
      <c r="G533" s="3" t="s">
        <v>29</v>
      </c>
      <c r="H533" s="3" t="s">
        <v>30</v>
      </c>
      <c r="I533" s="3" t="s">
        <v>31</v>
      </c>
      <c r="J533" s="3" t="s">
        <v>32</v>
      </c>
      <c r="K533" s="8">
        <v>43647.729861111111</v>
      </c>
      <c r="L533" s="8">
        <v>43636.041666666664</v>
      </c>
      <c r="M533" s="3">
        <v>0</v>
      </c>
      <c r="N533" s="3">
        <v>1</v>
      </c>
      <c r="O533" s="3" t="s">
        <v>33</v>
      </c>
      <c r="P533" s="10" t="s">
        <v>576</v>
      </c>
      <c r="Q533" s="3" t="s">
        <v>34</v>
      </c>
      <c r="R533" s="3">
        <v>10</v>
      </c>
      <c r="S533" s="3">
        <v>2</v>
      </c>
      <c r="T533" s="10" t="s">
        <v>576</v>
      </c>
      <c r="U533" s="10" t="s">
        <v>576</v>
      </c>
      <c r="V533" s="3" t="s">
        <v>48</v>
      </c>
      <c r="W533" s="11" cm="1">
        <f t="array" ref="W533">IF(H533="Request","No SLA for Request", IF(F533="Emergency",B533+(4/24), WORKDAY(B533, _xlfn.IFS(F533="High", 3, F533="Normal", 5, F533="Low", 10))))</f>
        <v>43649</v>
      </c>
      <c r="X533" t="str">
        <f t="shared" si="8"/>
        <v>No</v>
      </c>
    </row>
    <row r="534" spans="1:24" ht="12.75" x14ac:dyDescent="0.2">
      <c r="A534" s="3">
        <v>111202</v>
      </c>
      <c r="B534" s="8">
        <v>43600.546527777777</v>
      </c>
      <c r="C534" s="3" t="s">
        <v>569</v>
      </c>
      <c r="D534" s="3" t="s">
        <v>26</v>
      </c>
      <c r="E534" s="3" t="s">
        <v>27</v>
      </c>
      <c r="F534" s="3" t="s">
        <v>188</v>
      </c>
      <c r="G534" s="3" t="s">
        <v>29</v>
      </c>
      <c r="H534" s="3" t="s">
        <v>30</v>
      </c>
      <c r="I534" s="3" t="s">
        <v>31</v>
      </c>
      <c r="J534" s="3" t="s">
        <v>32</v>
      </c>
      <c r="K534" s="8">
        <v>43630.577777777777</v>
      </c>
      <c r="L534" s="8">
        <v>43601.046527777777</v>
      </c>
      <c r="M534" s="3">
        <v>0</v>
      </c>
      <c r="N534" s="3">
        <v>1</v>
      </c>
      <c r="O534" s="3" t="s">
        <v>33</v>
      </c>
      <c r="P534" s="10" t="s">
        <v>576</v>
      </c>
      <c r="Q534" s="3" t="s">
        <v>34</v>
      </c>
      <c r="R534" s="3">
        <v>14</v>
      </c>
      <c r="S534" s="3">
        <v>3</v>
      </c>
      <c r="T534" s="10" t="s">
        <v>576</v>
      </c>
      <c r="U534" s="10" t="s">
        <v>576</v>
      </c>
      <c r="V534" s="3" t="s">
        <v>48</v>
      </c>
      <c r="W534" s="11" cm="1">
        <f t="array" ref="W534">IF(H534="Request","No SLA for Request", IF(F534="Emergency",B534+(4/24), WORKDAY(B534, _xlfn.IFS(F534="High", 3, F534="Normal", 5, F534="Low", 10))))</f>
        <v>43614</v>
      </c>
      <c r="X534" t="str">
        <f t="shared" si="8"/>
        <v>Yes</v>
      </c>
    </row>
    <row r="535" spans="1:24" ht="12.75" x14ac:dyDescent="0.2">
      <c r="A535" s="3">
        <v>111205</v>
      </c>
      <c r="B535" s="8">
        <v>43602.647916666669</v>
      </c>
      <c r="C535" s="3" t="s">
        <v>570</v>
      </c>
      <c r="D535" s="3" t="s">
        <v>26</v>
      </c>
      <c r="E535" s="3" t="s">
        <v>27</v>
      </c>
      <c r="F535" s="3" t="s">
        <v>188</v>
      </c>
      <c r="G535" s="3" t="s">
        <v>29</v>
      </c>
      <c r="H535" s="3" t="s">
        <v>53</v>
      </c>
      <c r="I535" s="3" t="s">
        <v>31</v>
      </c>
      <c r="J535" s="3" t="s">
        <v>32</v>
      </c>
      <c r="K535" s="8">
        <v>43602.743750000001</v>
      </c>
      <c r="L535" s="8">
        <v>43603.147916666669</v>
      </c>
      <c r="M535" s="3">
        <v>0</v>
      </c>
      <c r="N535" s="3">
        <v>1</v>
      </c>
      <c r="O535" s="3" t="s">
        <v>33</v>
      </c>
      <c r="P535" s="10" t="s">
        <v>576</v>
      </c>
      <c r="Q535" s="3" t="s">
        <v>34</v>
      </c>
      <c r="R535" s="3">
        <v>6</v>
      </c>
      <c r="S535" s="3">
        <v>2</v>
      </c>
      <c r="T535" s="10" t="s">
        <v>576</v>
      </c>
      <c r="U535" s="10" t="s">
        <v>576</v>
      </c>
      <c r="V535" s="3" t="s">
        <v>37</v>
      </c>
      <c r="W535" s="11" t="str" cm="1">
        <f t="array" ref="W535">IF(H535="Request","No SLA for Request", IF(F535="Emergency",B535+(4/24), WORKDAY(B535, _xlfn.IFS(F535="High", 3, F535="Normal", 5, F535="Low", 10))))</f>
        <v>No SLA for Request</v>
      </c>
      <c r="X535" t="str">
        <f t="shared" si="8"/>
        <v>N/A</v>
      </c>
    </row>
    <row r="536" spans="1:24" ht="12.75" x14ac:dyDescent="0.2">
      <c r="A536" s="3">
        <v>111128</v>
      </c>
      <c r="B536" s="8">
        <v>43511.695833333331</v>
      </c>
      <c r="C536" s="3" t="s">
        <v>571</v>
      </c>
      <c r="D536" s="3" t="s">
        <v>73</v>
      </c>
      <c r="E536" s="3" t="s">
        <v>74</v>
      </c>
      <c r="F536" s="3" t="s">
        <v>188</v>
      </c>
      <c r="G536" s="3" t="s">
        <v>29</v>
      </c>
      <c r="H536" s="3" t="s">
        <v>53</v>
      </c>
      <c r="I536" s="3" t="s">
        <v>31</v>
      </c>
      <c r="J536" s="3" t="s">
        <v>32</v>
      </c>
      <c r="K536" s="8">
        <v>43529.754861111112</v>
      </c>
      <c r="L536" s="8">
        <v>43512.195833333331</v>
      </c>
      <c r="M536" s="3">
        <v>0</v>
      </c>
      <c r="N536" s="3">
        <v>1</v>
      </c>
      <c r="O536" s="3" t="s">
        <v>33</v>
      </c>
      <c r="P536" s="10" t="s">
        <v>576</v>
      </c>
      <c r="Q536" s="3" t="s">
        <v>34</v>
      </c>
      <c r="R536" s="3">
        <v>21</v>
      </c>
      <c r="S536" s="3">
        <v>2</v>
      </c>
      <c r="T536" s="10" t="s">
        <v>576</v>
      </c>
      <c r="U536" s="10" t="s">
        <v>576</v>
      </c>
      <c r="V536" s="3" t="s">
        <v>37</v>
      </c>
      <c r="W536" s="11" t="str" cm="1">
        <f t="array" ref="W536">IF(H536="Request","No SLA for Request", IF(F536="Emergency",B536+(4/24), WORKDAY(B536, _xlfn.IFS(F536="High", 3, F536="Normal", 5, F536="Low", 10))))</f>
        <v>No SLA for Request</v>
      </c>
      <c r="X536" t="str">
        <f t="shared" si="8"/>
        <v>N/A</v>
      </c>
    </row>
    <row r="537" spans="1:24" ht="12.75" x14ac:dyDescent="0.2">
      <c r="A537" s="3">
        <v>111124</v>
      </c>
      <c r="B537" s="8">
        <v>43504.406944444447</v>
      </c>
      <c r="C537" s="3" t="s">
        <v>572</v>
      </c>
      <c r="D537" s="3" t="s">
        <v>73</v>
      </c>
      <c r="E537" s="3" t="s">
        <v>74</v>
      </c>
      <c r="F537" s="3" t="s">
        <v>188</v>
      </c>
      <c r="G537" s="3" t="s">
        <v>29</v>
      </c>
      <c r="H537" s="3" t="s">
        <v>53</v>
      </c>
      <c r="I537" s="3" t="s">
        <v>31</v>
      </c>
      <c r="J537" s="3" t="s">
        <v>32</v>
      </c>
      <c r="K537" s="8">
        <v>43509.40625</v>
      </c>
      <c r="L537" s="8">
        <v>43504.906944444447</v>
      </c>
      <c r="M537" s="3">
        <v>0</v>
      </c>
      <c r="N537" s="3">
        <v>1</v>
      </c>
      <c r="O537" s="3" t="s">
        <v>85</v>
      </c>
      <c r="P537" s="10" t="s">
        <v>576</v>
      </c>
      <c r="Q537" s="3" t="s">
        <v>34</v>
      </c>
      <c r="R537" s="3">
        <v>9</v>
      </c>
      <c r="S537" s="3">
        <v>3</v>
      </c>
      <c r="T537" s="10" t="s">
        <v>576</v>
      </c>
      <c r="U537" s="10" t="s">
        <v>576</v>
      </c>
      <c r="V537" s="3" t="s">
        <v>37</v>
      </c>
      <c r="W537" s="11" t="str" cm="1">
        <f t="array" ref="W537">IF(H537="Request","No SLA for Request", IF(F537="Emergency",B537+(4/24), WORKDAY(B537, _xlfn.IFS(F537="High", 3, F537="Normal", 5, F537="Low", 10))))</f>
        <v>No SLA for Request</v>
      </c>
      <c r="X537" t="str">
        <f t="shared" si="8"/>
        <v>N/A</v>
      </c>
    </row>
    <row r="538" spans="1:24" ht="12.75" x14ac:dyDescent="0.2"/>
    <row r="539" spans="1:24" ht="12.75" x14ac:dyDescent="0.2"/>
    <row r="540" spans="1:24" ht="12.75" x14ac:dyDescent="0.2"/>
    <row r="541" spans="1:24" ht="12.75" x14ac:dyDescent="0.2"/>
    <row r="542" spans="1:24" ht="12.75" x14ac:dyDescent="0.2"/>
    <row r="543" spans="1:24" ht="12.75" x14ac:dyDescent="0.2"/>
    <row r="544" spans="1:2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94C8-5CDF-4E35-B424-F03323F1F027}">
  <dimension ref="A2:T39"/>
  <sheetViews>
    <sheetView tabSelected="1" topLeftCell="A2" workbookViewId="0">
      <selection activeCell="G5" sqref="G5"/>
    </sheetView>
  </sheetViews>
  <sheetFormatPr defaultRowHeight="12.75" x14ac:dyDescent="0.2"/>
  <cols>
    <col min="1" max="1" width="35.5703125" bestFit="1" customWidth="1"/>
    <col min="2" max="2" width="23.42578125" bestFit="1" customWidth="1"/>
    <col min="3" max="3" width="24.42578125" bestFit="1" customWidth="1"/>
    <col min="4" max="4" width="4.140625" customWidth="1"/>
    <col min="5" max="5" width="11.7109375" bestFit="1" customWidth="1"/>
    <col min="6" max="6" width="7.140625" bestFit="1" customWidth="1"/>
    <col min="7" max="7" width="5.85546875" bestFit="1" customWidth="1"/>
    <col min="8" max="8" width="9.28515625" bestFit="1" customWidth="1"/>
    <col min="9" max="9" width="11.7109375" bestFit="1" customWidth="1"/>
    <col min="10" max="10" width="7.140625" bestFit="1" customWidth="1"/>
    <col min="11" max="11" width="5.85546875" bestFit="1" customWidth="1"/>
    <col min="12" max="13" width="9.28515625" bestFit="1" customWidth="1"/>
    <col min="14" max="14" width="11.7109375" bestFit="1" customWidth="1"/>
  </cols>
  <sheetData>
    <row r="2" spans="1:7" x14ac:dyDescent="0.2">
      <c r="A2" s="19" t="s">
        <v>654</v>
      </c>
      <c r="B2" s="20"/>
      <c r="C2" s="20"/>
      <c r="D2" s="20"/>
    </row>
    <row r="3" spans="1:7" x14ac:dyDescent="0.2">
      <c r="A3" s="15" t="s">
        <v>666</v>
      </c>
      <c r="B3" s="2" t="s">
        <v>668</v>
      </c>
      <c r="C3" s="2" t="s">
        <v>672</v>
      </c>
    </row>
    <row r="4" spans="1:7" x14ac:dyDescent="0.2">
      <c r="A4" s="6" t="s">
        <v>72</v>
      </c>
      <c r="B4" s="17">
        <v>5</v>
      </c>
      <c r="C4" s="18">
        <v>1.607717041800643E-2</v>
      </c>
    </row>
    <row r="5" spans="1:7" x14ac:dyDescent="0.2">
      <c r="A5" s="6" t="s">
        <v>102</v>
      </c>
      <c r="B5" s="17">
        <v>2</v>
      </c>
      <c r="C5" s="18">
        <v>6.4308681672025723E-3</v>
      </c>
      <c r="G5">
        <v>42</v>
      </c>
    </row>
    <row r="6" spans="1:7" x14ac:dyDescent="0.2">
      <c r="A6" s="6" t="s">
        <v>77</v>
      </c>
      <c r="B6" s="17">
        <v>6</v>
      </c>
      <c r="C6" s="18">
        <v>1.9292604501607719E-2</v>
      </c>
    </row>
    <row r="7" spans="1:7" x14ac:dyDescent="0.2">
      <c r="A7" s="6" t="s">
        <v>43</v>
      </c>
      <c r="B7" s="17">
        <v>170</v>
      </c>
      <c r="C7" s="18">
        <v>0.54662379421221863</v>
      </c>
    </row>
    <row r="8" spans="1:7" x14ac:dyDescent="0.2">
      <c r="A8" s="6" t="s">
        <v>46</v>
      </c>
      <c r="B8" s="17">
        <v>14</v>
      </c>
      <c r="C8" s="18">
        <v>4.5016077170418008E-2</v>
      </c>
    </row>
    <row r="9" spans="1:7" x14ac:dyDescent="0.2">
      <c r="A9" s="6" t="s">
        <v>34</v>
      </c>
      <c r="B9" s="17">
        <v>110</v>
      </c>
      <c r="C9" s="18">
        <v>0.3536977491961415</v>
      </c>
    </row>
    <row r="10" spans="1:7" x14ac:dyDescent="0.2">
      <c r="A10" s="6" t="s">
        <v>123</v>
      </c>
      <c r="B10" s="17">
        <v>4</v>
      </c>
      <c r="C10" s="18">
        <v>1.2861736334405145E-2</v>
      </c>
    </row>
    <row r="11" spans="1:7" x14ac:dyDescent="0.2">
      <c r="A11" s="6" t="s">
        <v>667</v>
      </c>
      <c r="B11" s="17">
        <v>311</v>
      </c>
      <c r="C11" s="18">
        <v>1</v>
      </c>
    </row>
    <row r="33" spans="19:20" x14ac:dyDescent="0.2">
      <c r="S33" s="4" t="s">
        <v>655</v>
      </c>
    </row>
    <row r="34" spans="19:20" x14ac:dyDescent="0.2">
      <c r="S34" s="15" t="s">
        <v>666</v>
      </c>
      <c r="T34" s="2" t="s">
        <v>669</v>
      </c>
    </row>
    <row r="35" spans="19:20" x14ac:dyDescent="0.2">
      <c r="S35" s="6" t="s">
        <v>28</v>
      </c>
      <c r="T35" s="2">
        <v>50</v>
      </c>
    </row>
    <row r="36" spans="19:20" x14ac:dyDescent="0.2">
      <c r="S36" s="6" t="s">
        <v>92</v>
      </c>
      <c r="T36" s="2">
        <v>112</v>
      </c>
    </row>
    <row r="37" spans="19:20" x14ac:dyDescent="0.2">
      <c r="S37" s="6" t="s">
        <v>188</v>
      </c>
      <c r="T37" s="2">
        <v>39</v>
      </c>
    </row>
    <row r="38" spans="19:20" x14ac:dyDescent="0.2">
      <c r="S38" s="6" t="s">
        <v>124</v>
      </c>
      <c r="T38" s="2">
        <v>335</v>
      </c>
    </row>
    <row r="39" spans="19:20" x14ac:dyDescent="0.2">
      <c r="S39" s="6" t="s">
        <v>667</v>
      </c>
      <c r="T39" s="2">
        <v>536</v>
      </c>
    </row>
  </sheetData>
  <mergeCells count="1">
    <mergeCell ref="B2:D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E31D-E5F7-493D-8BC3-E8384011AB34}">
  <dimension ref="B3:C9"/>
  <sheetViews>
    <sheetView workbookViewId="0">
      <selection activeCell="B6" sqref="B6"/>
    </sheetView>
  </sheetViews>
  <sheetFormatPr defaultRowHeight="12.75" x14ac:dyDescent="0.2"/>
  <cols>
    <col min="2" max="2" width="13.85546875" bestFit="1" customWidth="1"/>
    <col min="3" max="3" width="32.28515625" bestFit="1" customWidth="1"/>
    <col min="4" max="4" width="9.140625" customWidth="1"/>
  </cols>
  <sheetData>
    <row r="3" spans="2:3" x14ac:dyDescent="0.2">
      <c r="B3" t="s">
        <v>670</v>
      </c>
    </row>
    <row r="5" spans="2:3" x14ac:dyDescent="0.2">
      <c r="B5" s="14" t="s">
        <v>666</v>
      </c>
      <c r="C5" t="s">
        <v>671</v>
      </c>
    </row>
    <row r="6" spans="2:3" x14ac:dyDescent="0.2">
      <c r="B6" s="4" t="s">
        <v>32</v>
      </c>
      <c r="C6" s="16">
        <v>288</v>
      </c>
    </row>
    <row r="7" spans="2:3" x14ac:dyDescent="0.2">
      <c r="B7" s="4" t="s">
        <v>51</v>
      </c>
      <c r="C7" s="16">
        <v>15</v>
      </c>
    </row>
    <row r="8" spans="2:3" x14ac:dyDescent="0.2">
      <c r="B8" s="4" t="s">
        <v>41</v>
      </c>
      <c r="C8" s="16">
        <v>8</v>
      </c>
    </row>
    <row r="9" spans="2:3" x14ac:dyDescent="0.2">
      <c r="B9" s="4" t="s">
        <v>667</v>
      </c>
      <c r="C9" s="16">
        <v>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84B8-676F-4E88-A36D-229C5A8E0411}">
  <dimension ref="B2:C11"/>
  <sheetViews>
    <sheetView workbookViewId="0">
      <selection activeCell="C2" sqref="C2"/>
    </sheetView>
  </sheetViews>
  <sheetFormatPr defaultRowHeight="12.75" x14ac:dyDescent="0.2"/>
  <cols>
    <col min="2" max="2" width="18.85546875" bestFit="1" customWidth="1"/>
    <col min="3" max="3" width="54.42578125" customWidth="1"/>
  </cols>
  <sheetData>
    <row r="2" spans="2:3" x14ac:dyDescent="0.2">
      <c r="B2" s="5" t="s">
        <v>664</v>
      </c>
      <c r="C2" s="13"/>
    </row>
    <row r="3" spans="2:3" x14ac:dyDescent="0.2">
      <c r="C3" s="4"/>
    </row>
    <row r="4" spans="2:3" x14ac:dyDescent="0.2">
      <c r="B4" s="5" t="s">
        <v>2</v>
      </c>
      <c r="C4" s="6" t="str">
        <f>_xlfn.XLOOKUP(C2, helpdesk_tickets!A2:A537, helpdesk_tickets!C2:C537,"Not Found")</f>
        <v>Not Found</v>
      </c>
    </row>
    <row r="5" spans="2:3" x14ac:dyDescent="0.2">
      <c r="B5" s="5" t="s">
        <v>3</v>
      </c>
      <c r="C5" s="6" t="str">
        <f>_xlfn.XLOOKUP(C2,helpdesk_tickets!A2:A537, helpdesk_tickets!D2:D537,"Not Found")</f>
        <v>Not Found</v>
      </c>
    </row>
    <row r="6" spans="2:3" x14ac:dyDescent="0.2">
      <c r="B6" s="5" t="s">
        <v>1</v>
      </c>
      <c r="C6" s="7" t="str">
        <f>_xlfn.XLOOKUP(C2,helpdesk_tickets!A2:A537,helpdesk_tickets!B2:B537,"Not Found")</f>
        <v>Not Found</v>
      </c>
    </row>
    <row r="7" spans="2:3" x14ac:dyDescent="0.2">
      <c r="B7" s="5" t="s">
        <v>5</v>
      </c>
      <c r="C7" s="6" t="str">
        <f>_xlfn.XLOOKUP(C2,helpdesk_tickets!A2:A537,helpdesk_tickets!F2:F537,"Not Found")</f>
        <v>Not Found</v>
      </c>
    </row>
    <row r="8" spans="2:3" x14ac:dyDescent="0.2">
      <c r="B8" s="5" t="s">
        <v>7</v>
      </c>
      <c r="C8" s="6" t="str">
        <f>_xlfn.XLOOKUP(C2,helpdesk_tickets!A2:A537,helpdesk_tickets!H2:H537,"Not Found")</f>
        <v>Not Found</v>
      </c>
    </row>
    <row r="9" spans="2:3" x14ac:dyDescent="0.2">
      <c r="B9" s="5" t="s">
        <v>665</v>
      </c>
      <c r="C9" s="6" t="str">
        <f>_xlfn.XLOOKUP(C2,helpdesk_tickets!A2:A537,helpdesk_tickets!J2:J537,"Not Found")</f>
        <v>Not Found</v>
      </c>
    </row>
    <row r="10" spans="2:3" x14ac:dyDescent="0.2">
      <c r="B10" s="5" t="s">
        <v>662</v>
      </c>
      <c r="C10" s="7" t="str">
        <f>_xlfn.XLOOKUP(C2,helpdesk_tickets!A2:A537,helpdesk_tickets!W2:W537,"Not Found")</f>
        <v>Not Found</v>
      </c>
    </row>
    <row r="11" spans="2:3" x14ac:dyDescent="0.2">
      <c r="B11" s="5" t="s">
        <v>663</v>
      </c>
      <c r="C11" s="6" t="str">
        <f>_xlfn.XLOOKUP(C2,helpdesk_tickets!A2:A537,helpdesk_tickets!X2:X537,"Not Found")</f>
        <v>Not Found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5B50-A053-4E59-BE31-829AE2A1BC39}">
  <dimension ref="B2:K19"/>
  <sheetViews>
    <sheetView workbookViewId="0">
      <selection activeCell="F3" sqref="F3"/>
    </sheetView>
  </sheetViews>
  <sheetFormatPr defaultRowHeight="12.75" x14ac:dyDescent="0.2"/>
  <cols>
    <col min="1" max="1" width="16.140625" bestFit="1" customWidth="1"/>
    <col min="2" max="2" width="31.7109375" bestFit="1" customWidth="1"/>
    <col min="3" max="3" width="23.5703125" bestFit="1" customWidth="1"/>
    <col min="4" max="4" width="19.5703125" bestFit="1" customWidth="1"/>
    <col min="5" max="5" width="33.85546875" bestFit="1" customWidth="1"/>
    <col min="6" max="6" width="25.85546875" bestFit="1" customWidth="1"/>
    <col min="7" max="7" width="15.7109375" bestFit="1" customWidth="1"/>
    <col min="8" max="8" width="10.42578125" bestFit="1" customWidth="1"/>
    <col min="9" max="9" width="22.28515625" customWidth="1"/>
    <col min="10" max="10" width="23.42578125" bestFit="1" customWidth="1"/>
  </cols>
  <sheetData>
    <row r="2" spans="2:11" x14ac:dyDescent="0.2">
      <c r="B2" s="2" t="s">
        <v>16</v>
      </c>
      <c r="C2" s="2" t="s">
        <v>654</v>
      </c>
      <c r="E2" s="2" t="s">
        <v>7</v>
      </c>
      <c r="F2" s="2" t="s">
        <v>656</v>
      </c>
      <c r="H2" s="2" t="s">
        <v>5</v>
      </c>
      <c r="I2" s="2" t="s">
        <v>655</v>
      </c>
      <c r="K2" s="1"/>
    </row>
    <row r="3" spans="2:11" x14ac:dyDescent="0.2">
      <c r="B3" s="2" t="s">
        <v>34</v>
      </c>
      <c r="C3" s="2">
        <f>COUNTIF(helpdesk_tickets!Q:Q, "SAP Support Team")</f>
        <v>188</v>
      </c>
      <c r="E3" s="2" t="s">
        <v>30</v>
      </c>
      <c r="F3" s="2">
        <f>COUNTIF(helpdesk_tickets!H:H, "Incident / Problem")</f>
        <v>364</v>
      </c>
      <c r="H3" s="2" t="s">
        <v>28</v>
      </c>
      <c r="I3" s="2">
        <f>COUNTIF(helpdesk_tickets!F:F, "Emergency")</f>
        <v>50</v>
      </c>
    </row>
    <row r="4" spans="2:11" x14ac:dyDescent="0.2">
      <c r="B4" s="2" t="s">
        <v>43</v>
      </c>
      <c r="C4" s="2">
        <f>COUNTIF(helpdesk_tickets!Q:Q, "JDE Support Team")</f>
        <v>246</v>
      </c>
      <c r="E4" s="2" t="s">
        <v>53</v>
      </c>
      <c r="F4" s="2">
        <f>COUNTIF(helpdesk_tickets!H:H, "Request")</f>
        <v>172</v>
      </c>
      <c r="H4" s="2" t="s">
        <v>92</v>
      </c>
      <c r="I4" s="2">
        <f>COUNTIF(helpdesk_tickets!F:F, "High")</f>
        <v>112</v>
      </c>
    </row>
    <row r="5" spans="2:11" x14ac:dyDescent="0.2">
      <c r="B5" s="2" t="s">
        <v>46</v>
      </c>
      <c r="C5" s="2">
        <f>COUNTIF(helpdesk_tickets!Q:Q, "Network Team")</f>
        <v>36</v>
      </c>
      <c r="H5" s="2" t="s">
        <v>124</v>
      </c>
      <c r="I5" s="2">
        <f>COUNTIF(helpdesk_tickets!F:F, "Normal")</f>
        <v>335</v>
      </c>
    </row>
    <row r="6" spans="2:11" x14ac:dyDescent="0.2">
      <c r="B6" s="2" t="s">
        <v>72</v>
      </c>
      <c r="C6" s="2">
        <f>COUNTIF(helpdesk_tickets!Q:Q, "AWS Team")</f>
        <v>16</v>
      </c>
      <c r="H6" s="2" t="s">
        <v>188</v>
      </c>
      <c r="I6" s="2">
        <f>COUNTIF(helpdesk_tickets!F:F, "Low")</f>
        <v>39</v>
      </c>
    </row>
    <row r="7" spans="2:11" x14ac:dyDescent="0.2">
      <c r="B7" s="2" t="s">
        <v>77</v>
      </c>
      <c r="C7" s="2">
        <f>COUNTIF(helpdesk_tickets!Q:Q, "Help Desk Team")</f>
        <v>35</v>
      </c>
    </row>
    <row r="8" spans="2:11" x14ac:dyDescent="0.2">
      <c r="B8" s="2" t="s">
        <v>88</v>
      </c>
      <c r="C8" s="2">
        <f>COUNTIF(helpdesk_tickets!Q:Q, "Hardware Team")</f>
        <v>2</v>
      </c>
    </row>
    <row r="9" spans="2:11" x14ac:dyDescent="0.2">
      <c r="B9" s="2" t="s">
        <v>102</v>
      </c>
      <c r="C9" s="2">
        <f>COUNTIF(helpdesk_tickets!Q:Q, "BPM - ProcessMaker Support Team")</f>
        <v>2</v>
      </c>
    </row>
    <row r="10" spans="2:11" x14ac:dyDescent="0.2">
      <c r="B10" s="2" t="s">
        <v>153</v>
      </c>
      <c r="C10" s="2">
        <f>COUNTIF(helpdesk_tickets!Q:Q, "Salesforce Team")</f>
        <v>7</v>
      </c>
    </row>
    <row r="11" spans="2:11" ht="11.25" customHeight="1" x14ac:dyDescent="0.2">
      <c r="B11" s="2" t="s">
        <v>123</v>
      </c>
      <c r="C11" s="2">
        <f>COUNTIF(helpdesk_tickets!Q:Q, "Workday Team")</f>
        <v>4</v>
      </c>
    </row>
    <row r="12" spans="2:11" hidden="1" x14ac:dyDescent="0.2">
      <c r="B12" s="2"/>
      <c r="C12" s="2"/>
    </row>
    <row r="16" spans="2:11" x14ac:dyDescent="0.2">
      <c r="B16" s="2" t="s">
        <v>9</v>
      </c>
      <c r="C16" s="2" t="s">
        <v>658</v>
      </c>
      <c r="E16" s="2" t="s">
        <v>661</v>
      </c>
      <c r="F16" s="2" t="s">
        <v>657</v>
      </c>
      <c r="H16" s="2" t="s">
        <v>8</v>
      </c>
      <c r="I16" s="2" t="s">
        <v>659</v>
      </c>
    </row>
    <row r="17" spans="2:9" x14ac:dyDescent="0.2">
      <c r="B17" s="2" t="s">
        <v>32</v>
      </c>
      <c r="C17" s="2">
        <f>COUNTIF(helpdesk_tickets!J:J, "Closed")</f>
        <v>462</v>
      </c>
      <c r="E17" s="2" t="s">
        <v>660</v>
      </c>
      <c r="F17" s="2">
        <f>COUNTIFS(helpdesk_tickets!J:J, "Open", helpdesk_tickets!N:N, "1")</f>
        <v>28</v>
      </c>
      <c r="H17" s="2" t="s">
        <v>31</v>
      </c>
      <c r="I17" s="2">
        <f>COUNTIF(helpdesk_tickets!I:I, "Web")</f>
        <v>481</v>
      </c>
    </row>
    <row r="18" spans="2:9" x14ac:dyDescent="0.2">
      <c r="B18" s="2" t="s">
        <v>41</v>
      </c>
      <c r="C18" s="2">
        <f>COUNTIF(helpdesk_tickets!J:J, "Resolved")</f>
        <v>13</v>
      </c>
      <c r="H18" s="2" t="s">
        <v>61</v>
      </c>
      <c r="I18" s="2">
        <f>COUNTIF(helpdesk_tickets!I:I, "Email")</f>
        <v>28</v>
      </c>
    </row>
    <row r="19" spans="2:9" x14ac:dyDescent="0.2">
      <c r="B19" s="2" t="s">
        <v>51</v>
      </c>
      <c r="C19" s="2">
        <f>COUNTIF(helpdesk_tickets!J:J, "Open")</f>
        <v>61</v>
      </c>
      <c r="H19" s="2" t="s">
        <v>68</v>
      </c>
      <c r="I19" s="2">
        <f>COUNTIF(helpdesk_tickets!I:I, "Phone")</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helpdesk_tickets</vt:lpstr>
      <vt:lpstr>Pivot Table</vt:lpstr>
      <vt:lpstr>Pivot chart</vt:lpstr>
      <vt:lpstr>Ticket Viewer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Beng Ren Siew</dc:creator>
  <cp:lastModifiedBy>Beng Ren Siew</cp:lastModifiedBy>
  <dcterms:created xsi:type="dcterms:W3CDTF">2024-12-04T13:02:21Z</dcterms:created>
  <dcterms:modified xsi:type="dcterms:W3CDTF">2024-12-12T18:44:48Z</dcterms:modified>
</cp:coreProperties>
</file>